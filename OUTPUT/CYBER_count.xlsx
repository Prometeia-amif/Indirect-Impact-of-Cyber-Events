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theme/themeOverride1.xml" ContentType="application/vnd.openxmlformats-officedocument.themeOverrid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theme/themeOverride2.xml" ContentType="application/vnd.openxmlformats-officedocument.themeOverrid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theme/themeOverride3.xml" ContentType="application/vnd.openxmlformats-officedocument.themeOverrid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theme/themeOverride4.xml" ContentType="application/vnd.openxmlformats-officedocument.themeOverrid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https://prometeiaspa-my.sharepoint.com/personal/ivan_delorenzoburatta_prometeia_com/Documents/Desktop/Rep Risk/REPUTATION/OUTPUT/"/>
    </mc:Choice>
  </mc:AlternateContent>
  <xr:revisionPtr revIDLastSave="449" documentId="11_40C9943C97D7E77C51E088FF0E56906F9EDB8573" xr6:coauthVersionLast="47" xr6:coauthVersionMax="47" xr10:uidLastSave="{AE58B2D7-66D2-4E5E-86FA-A7973EF00AB3}"/>
  <bookViews>
    <workbookView xWindow="-120" yWindow="-120" windowWidth="29040" windowHeight="15720" xr2:uid="{00000000-000D-0000-FFFF-FFFF00000000}"/>
  </bookViews>
  <sheets>
    <sheet name="n_events" sheetId="1" r:id="rId1"/>
    <sheet name="Chart1" sheetId="5" r:id="rId2"/>
    <sheet name="Chart2" sheetId="6" r:id="rId3"/>
    <sheet name="Chart3" sheetId="8" r:id="rId4"/>
    <sheet name="Chart4" sheetId="9" r:id="rId5"/>
    <sheet name="Chart6" sheetId="11" r:id="rId6"/>
    <sheet name="Chart5" sheetId="12" r:id="rId7"/>
    <sheet name="Event study" sheetId="3" r:id="rId8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8" i="3" l="1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T4" i="3"/>
  <c r="S4" i="3"/>
  <c r="R4" i="3"/>
  <c r="Q4" i="3"/>
</calcChain>
</file>

<file path=xl/sharedStrings.xml><?xml version="1.0" encoding="utf-8"?>
<sst xmlns="http://schemas.openxmlformats.org/spreadsheetml/2006/main" count="107" uniqueCount="42">
  <si>
    <t>year</t>
  </si>
  <si>
    <t>event_count</t>
  </si>
  <si>
    <t>financial_event_count</t>
  </si>
  <si>
    <t>normalized_event_count</t>
  </si>
  <si>
    <t>normalized_financial_event_count</t>
  </si>
  <si>
    <t>Maryland</t>
  </si>
  <si>
    <t>n_events_norm_f</t>
  </si>
  <si>
    <t>n_events_norm_a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</si>
  <si>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</si>
  <si>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</si>
  <si>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</si>
  <si>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</si>
  <si>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</si>
  <si>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</si>
  <si>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</si>
  <si>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</si>
  <si>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</si>
  <si>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</si>
  <si>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All</t>
  </si>
  <si>
    <t>est_wdw</t>
  </si>
  <si>
    <t>event_wdw_m</t>
  </si>
  <si>
    <t>event_wdw_p</t>
  </si>
  <si>
    <t>avg</t>
  </si>
  <si>
    <t>med</t>
  </si>
  <si>
    <t>Q1</t>
  </si>
  <si>
    <t>Q3</t>
  </si>
  <si>
    <t>min</t>
  </si>
  <si>
    <t>max</t>
  </si>
  <si>
    <t>VaR</t>
  </si>
  <si>
    <t>Std_err</t>
  </si>
  <si>
    <t>n_event</t>
  </si>
  <si>
    <t>Reject</t>
  </si>
  <si>
    <t>variable</t>
  </si>
  <si>
    <t>CAR</t>
  </si>
  <si>
    <t>financials</t>
  </si>
  <si>
    <t>NACE_sector</t>
  </si>
  <si>
    <t>FINANCIAL AND INSURANCE ACTIVITIES</t>
  </si>
  <si>
    <t>10 gg</t>
  </si>
  <si>
    <t>5 gg</t>
  </si>
  <si>
    <t>15 gg</t>
  </si>
  <si>
    <t>std</t>
  </si>
  <si>
    <t>1 gg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</si>
</sst>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2.xml"/><Relationship Id="rId3" Type="http://schemas.openxmlformats.org/officeDocument/2006/relationships/chartsheet" Target="chartsheets/sheet2.xml"/><Relationship Id="rId7" Type="http://schemas.openxmlformats.org/officeDocument/2006/relationships/chartsheet" Target="chartsheets/sheet6.xml"/><Relationship Id="rId12" Type="http://schemas.openxmlformats.org/officeDocument/2006/relationships/calcChain" Target="calcChain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5.xml"/><Relationship Id="rId11" Type="http://schemas.openxmlformats.org/officeDocument/2006/relationships/sharedStrings" Target="sharedStrings.xml"/><Relationship Id="rId5" Type="http://schemas.openxmlformats.org/officeDocument/2006/relationships/chartsheet" Target="chartsheets/sheet4.xml"/><Relationship Id="rId10" Type="http://schemas.openxmlformats.org/officeDocument/2006/relationships/styles" Target="styles.xml"/><Relationship Id="rId4" Type="http://schemas.openxmlformats.org/officeDocument/2006/relationships/chartsheet" Target="chartsheets/sheet3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3.xml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Tutti i settori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n_events!$A$2:$A$14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n_events!$D$2:$D$14</c:f>
              <c:numCache>
                <c:formatCode>General</c:formatCode>
                <c:ptCount val="13"/>
                <c:pt idx="0">
                  <c:v>4.4444444444444402</c:v>
                </c:pt>
                <c:pt idx="1">
                  <c:v>30</c:v>
                </c:pt>
                <c:pt idx="2">
                  <c:v>10</c:v>
                </c:pt>
                <c:pt idx="3">
                  <c:v>110</c:v>
                </c:pt>
                <c:pt idx="4">
                  <c:v>100</c:v>
                </c:pt>
                <c:pt idx="5">
                  <c:v>74.4444444444444</c:v>
                </c:pt>
                <c:pt idx="6">
                  <c:v>192.222222222222</c:v>
                </c:pt>
                <c:pt idx="7">
                  <c:v>458.88888888888903</c:v>
                </c:pt>
                <c:pt idx="8">
                  <c:v>362.222222222222</c:v>
                </c:pt>
                <c:pt idx="9">
                  <c:v>371.11111111111097</c:v>
                </c:pt>
                <c:pt idx="10">
                  <c:v>293.33333333333297</c:v>
                </c:pt>
                <c:pt idx="11">
                  <c:v>322.222222222222</c:v>
                </c:pt>
                <c:pt idx="12">
                  <c:v>448.88888888888903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D0-4557-9492-E9C0DD88F1EE}"/>
            </c:ext>
          </c:extLst>
        </c:ser>
        <c:ser>
          <c:idx val="1"/>
          <c:order val="1"/>
          <c:tx>
            <c:v>Settore finanziario e assicurativo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n_events!$A$2:$A$14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n_events!$E$2:$E$14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15.384615384615399</c:v>
                </c:pt>
                <c:pt idx="3">
                  <c:v>130.769230769231</c:v>
                </c:pt>
                <c:pt idx="4">
                  <c:v>100</c:v>
                </c:pt>
                <c:pt idx="5">
                  <c:v>138.461538461538</c:v>
                </c:pt>
                <c:pt idx="6">
                  <c:v>153.84615384615401</c:v>
                </c:pt>
                <c:pt idx="7">
                  <c:v>353.84615384615398</c:v>
                </c:pt>
                <c:pt idx="8">
                  <c:v>300</c:v>
                </c:pt>
                <c:pt idx="9">
                  <c:v>261.538461538462</c:v>
                </c:pt>
                <c:pt idx="10">
                  <c:v>200</c:v>
                </c:pt>
                <c:pt idx="11">
                  <c:v>276.92307692307702</c:v>
                </c:pt>
                <c:pt idx="12">
                  <c:v>523.07692307692298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4D0-4557-9492-E9C0DD88F1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464031"/>
        <c:axId val="776459711"/>
      </c:lineChart>
      <c:catAx>
        <c:axId val="7764640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6459711"/>
        <c:crosses val="autoZero"/>
        <c:auto val="1"/>
        <c:lblAlgn val="ctr"/>
        <c:lblOffset val="100"/>
        <c:noMultiLvlLbl val="0"/>
      </c:catAx>
      <c:valAx>
        <c:axId val="776459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/>
                  <a:t>Numero di eventi (100</a:t>
                </a:r>
                <a:r>
                  <a:rPr lang="it-IT" baseline="0"/>
                  <a:t> = 2015)</a:t>
                </a:r>
                <a:endParaRPr lang="it-IT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776464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Tutti i settori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n_events!$A$22:$A$31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n_events!$C$22:$C$31</c:f>
              <c:numCache>
                <c:formatCode>General</c:formatCode>
                <c:ptCount val="10"/>
                <c:pt idx="0">
                  <c:v>73.862310385064205</c:v>
                </c:pt>
                <c:pt idx="1">
                  <c:v>100</c:v>
                </c:pt>
                <c:pt idx="2">
                  <c:v>128.82147024504101</c:v>
                </c:pt>
                <c:pt idx="3">
                  <c:v>94.515752625437599</c:v>
                </c:pt>
                <c:pt idx="4">
                  <c:v>96.149358226371106</c:v>
                </c:pt>
                <c:pt idx="5">
                  <c:v>124.504084014002</c:v>
                </c:pt>
                <c:pt idx="6">
                  <c:v>203.85064177362901</c:v>
                </c:pt>
                <c:pt idx="7">
                  <c:v>166.86114352392099</c:v>
                </c:pt>
                <c:pt idx="8">
                  <c:v>298.83313885647601</c:v>
                </c:pt>
                <c:pt idx="9">
                  <c:v>284.48074679113199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82-45C8-A9C3-7AA1BF6A7C9F}"/>
            </c:ext>
          </c:extLst>
        </c:ser>
        <c:ser>
          <c:idx val="1"/>
          <c:order val="1"/>
          <c:tx>
            <c:v>Settore finanziario e assicurativo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n_events!$A$22:$A$31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n_events!$B$22:$B$31</c:f>
              <c:numCache>
                <c:formatCode>General</c:formatCode>
                <c:ptCount val="10"/>
                <c:pt idx="0">
                  <c:v>80.434782608695699</c:v>
                </c:pt>
                <c:pt idx="1">
                  <c:v>100</c:v>
                </c:pt>
                <c:pt idx="2">
                  <c:v>206.52173913043501</c:v>
                </c:pt>
                <c:pt idx="3">
                  <c:v>147.826086956522</c:v>
                </c:pt>
                <c:pt idx="4">
                  <c:v>189.130434782609</c:v>
                </c:pt>
                <c:pt idx="5">
                  <c:v>156.52173913043501</c:v>
                </c:pt>
                <c:pt idx="6">
                  <c:v>295.65217391304299</c:v>
                </c:pt>
                <c:pt idx="7">
                  <c:v>193.47826086956499</c:v>
                </c:pt>
                <c:pt idx="8">
                  <c:v>673.91304347826099</c:v>
                </c:pt>
                <c:pt idx="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82-45C8-A9C3-7AA1BF6A7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323568"/>
        <c:axId val="1392325488"/>
      </c:lineChart>
      <c:catAx>
        <c:axId val="1392323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2325488"/>
        <c:crosses val="autoZero"/>
        <c:auto val="1"/>
        <c:lblAlgn val="ctr"/>
        <c:lblOffset val="100"/>
        <c:noMultiLvlLbl val="0"/>
      </c:catAx>
      <c:valAx>
        <c:axId val="139232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it-IT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Numero di eventi (100 = 2015)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392323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04092394203199"/>
          <c:y val="4.1320263470438975E-2"/>
          <c:w val="0.84293658477339883"/>
          <c:h val="0.59736113664516133"/>
        </c:manualLayout>
      </c:layout>
      <c:lineChart>
        <c:grouping val="standard"/>
        <c:varyColors val="0"/>
        <c:ser>
          <c:idx val="0"/>
          <c:order val="0"/>
          <c:tx>
            <c:v>Tutti i settori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n_events!$A$2:$A$14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n_events!$D$2:$D$14</c:f>
              <c:numCache>
                <c:formatCode>General</c:formatCode>
                <c:ptCount val="13"/>
                <c:pt idx="0">
                  <c:v>4.4444444444444402</c:v>
                </c:pt>
                <c:pt idx="1">
                  <c:v>30</c:v>
                </c:pt>
                <c:pt idx="2">
                  <c:v>10</c:v>
                </c:pt>
                <c:pt idx="3">
                  <c:v>110</c:v>
                </c:pt>
                <c:pt idx="4">
                  <c:v>100</c:v>
                </c:pt>
                <c:pt idx="5">
                  <c:v>74.4444444444444</c:v>
                </c:pt>
                <c:pt idx="6">
                  <c:v>192.222222222222</c:v>
                </c:pt>
                <c:pt idx="7">
                  <c:v>458.88888888888903</c:v>
                </c:pt>
                <c:pt idx="8">
                  <c:v>362.222222222222</c:v>
                </c:pt>
                <c:pt idx="9">
                  <c:v>371.11111111111097</c:v>
                </c:pt>
                <c:pt idx="10">
                  <c:v>293.33333333333297</c:v>
                </c:pt>
                <c:pt idx="11">
                  <c:v>322.222222222222</c:v>
                </c:pt>
                <c:pt idx="12">
                  <c:v>448.88888888888903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23B-447B-B0DB-5F1BE7C7D26C}"/>
            </c:ext>
          </c:extLst>
        </c:ser>
        <c:ser>
          <c:idx val="1"/>
          <c:order val="1"/>
          <c:tx>
            <c:v>Settore finanziario e assicurativo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n_events!$A$2:$A$14</c:f>
              <c:numCache>
                <c:formatCode>General</c:formatCode>
                <c:ptCount val="13"/>
                <c:pt idx="0">
                  <c:v>2011</c:v>
                </c:pt>
                <c:pt idx="1">
                  <c:v>2012</c:v>
                </c:pt>
                <c:pt idx="2">
                  <c:v>2013</c:v>
                </c:pt>
                <c:pt idx="3">
                  <c:v>2014</c:v>
                </c:pt>
                <c:pt idx="4">
                  <c:v>2015</c:v>
                </c:pt>
                <c:pt idx="5">
                  <c:v>2016</c:v>
                </c:pt>
                <c:pt idx="6">
                  <c:v>2017</c:v>
                </c:pt>
                <c:pt idx="7">
                  <c:v>2018</c:v>
                </c:pt>
                <c:pt idx="8">
                  <c:v>2019</c:v>
                </c:pt>
                <c:pt idx="9">
                  <c:v>2020</c:v>
                </c:pt>
                <c:pt idx="10">
                  <c:v>2021</c:v>
                </c:pt>
                <c:pt idx="11">
                  <c:v>2022</c:v>
                </c:pt>
                <c:pt idx="12">
                  <c:v>2023</c:v>
                </c:pt>
              </c:numCache>
            </c:numRef>
          </c:cat>
          <c:val>
            <c:numRef>
              <c:f>n_events!$E$2:$E$14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15.384615384615399</c:v>
                </c:pt>
                <c:pt idx="3">
                  <c:v>130.769230769231</c:v>
                </c:pt>
                <c:pt idx="4">
                  <c:v>100</c:v>
                </c:pt>
                <c:pt idx="5">
                  <c:v>138.461538461538</c:v>
                </c:pt>
                <c:pt idx="6">
                  <c:v>153.84615384615401</c:v>
                </c:pt>
                <c:pt idx="7">
                  <c:v>353.84615384615398</c:v>
                </c:pt>
                <c:pt idx="8">
                  <c:v>300</c:v>
                </c:pt>
                <c:pt idx="9">
                  <c:v>261.538461538462</c:v>
                </c:pt>
                <c:pt idx="10">
                  <c:v>200</c:v>
                </c:pt>
                <c:pt idx="11">
                  <c:v>276.92307692307702</c:v>
                </c:pt>
                <c:pt idx="12">
                  <c:v>523.07692307692298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3B-447B-B0DB-5F1BE7C7D2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76464031"/>
        <c:axId val="776459711"/>
      </c:lineChart>
      <c:catAx>
        <c:axId val="776464031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Neutra Text"/>
                <a:ea typeface="Neutra Text"/>
                <a:cs typeface="Neutra Text"/>
              </a:defRPr>
            </a:pPr>
            <a:endParaRPr lang="it-IT"/>
          </a:p>
        </c:txPr>
        <c:crossAx val="776459711"/>
        <c:crosses val="autoZero"/>
        <c:auto val="1"/>
        <c:lblAlgn val="ctr"/>
        <c:lblOffset val="100"/>
        <c:noMultiLvlLbl val="0"/>
      </c:catAx>
      <c:valAx>
        <c:axId val="776459711"/>
        <c:scaling>
          <c:orientation val="minMax"/>
          <c:max val="6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Neutra Text"/>
                <a:ea typeface="Neutra Text"/>
                <a:cs typeface="Neutra Text"/>
              </a:defRPr>
            </a:pPr>
            <a:endParaRPr lang="it-IT"/>
          </a:p>
        </c:txPr>
        <c:crossAx val="776464031"/>
        <c:crosses val="autoZero"/>
        <c:crossBetween val="between"/>
        <c:majorUnit val="10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Neutra Text"/>
              <a:ea typeface="Neutra Text"/>
              <a:cs typeface="Neutra Text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104092394203199"/>
          <c:y val="4.1320263470438975E-2"/>
          <c:w val="0.85441236935556675"/>
          <c:h val="0.59135899383291646"/>
        </c:manualLayout>
      </c:layout>
      <c:lineChart>
        <c:grouping val="standard"/>
        <c:varyColors val="0"/>
        <c:ser>
          <c:idx val="0"/>
          <c:order val="0"/>
          <c:tx>
            <c:v>Tutti i settori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FF0000"/>
              </a:solidFill>
              <a:ln w="9525">
                <a:solidFill>
                  <a:srgbClr val="FF0000"/>
                </a:solidFill>
              </a:ln>
              <a:effectLst/>
            </c:spPr>
          </c:marker>
          <c:cat>
            <c:strRef>
              <c:f>n_events!$A$22:$A$31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n_events!$C$22:$C$31</c:f>
              <c:numCache>
                <c:formatCode>General</c:formatCode>
                <c:ptCount val="10"/>
                <c:pt idx="0">
                  <c:v>73.862310385064205</c:v>
                </c:pt>
                <c:pt idx="1">
                  <c:v>100</c:v>
                </c:pt>
                <c:pt idx="2">
                  <c:v>128.82147024504101</c:v>
                </c:pt>
                <c:pt idx="3">
                  <c:v>94.515752625437599</c:v>
                </c:pt>
                <c:pt idx="4">
                  <c:v>96.149358226371106</c:v>
                </c:pt>
                <c:pt idx="5">
                  <c:v>124.504084014002</c:v>
                </c:pt>
                <c:pt idx="6">
                  <c:v>203.85064177362901</c:v>
                </c:pt>
                <c:pt idx="7">
                  <c:v>166.86114352392099</c:v>
                </c:pt>
                <c:pt idx="8">
                  <c:v>298.83313885647601</c:v>
                </c:pt>
                <c:pt idx="9">
                  <c:v>284.48074679113199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BC-4C87-B1A9-3332AA926F9B}"/>
            </c:ext>
          </c:extLst>
        </c:ser>
        <c:ser>
          <c:idx val="1"/>
          <c:order val="1"/>
          <c:tx>
            <c:v>Settore finanziario e assicurativo</c:v>
          </c:tx>
          <c:spPr>
            <a:ln w="28575" cap="rnd">
              <a:solidFill>
                <a:srgbClr val="00B05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rgbClr val="00B050"/>
              </a:solidFill>
              <a:ln w="9525">
                <a:solidFill>
                  <a:srgbClr val="00B050"/>
                </a:solidFill>
              </a:ln>
              <a:effectLst/>
            </c:spPr>
          </c:marker>
          <c:cat>
            <c:strRef>
              <c:f>n_events!$A$22:$A$31</c:f>
              <c:strCach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strCache>
            </c:strRef>
          </c:cat>
          <c:val>
            <c:numRef>
              <c:f>n_events!$B$22:$B$31</c:f>
              <c:numCache>
                <c:formatCode>General</c:formatCode>
                <c:ptCount val="10"/>
                <c:pt idx="0">
                  <c:v>80.434782608695699</c:v>
                </c:pt>
                <c:pt idx="1">
                  <c:v>100</c:v>
                </c:pt>
                <c:pt idx="2">
                  <c:v>206.52173913043501</c:v>
                </c:pt>
                <c:pt idx="3">
                  <c:v>147.826086956522</c:v>
                </c:pt>
                <c:pt idx="4">
                  <c:v>189.130434782609</c:v>
                </c:pt>
                <c:pt idx="5">
                  <c:v>156.52173913043501</c:v>
                </c:pt>
                <c:pt idx="6">
                  <c:v>295.65217391304299</c:v>
                </c:pt>
                <c:pt idx="7">
                  <c:v>193.47826086956499</c:v>
                </c:pt>
                <c:pt idx="8">
                  <c:v>673.91304347826099</c:v>
                </c:pt>
                <c:pt idx="9">
                  <c:v>700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BC-4C87-B1A9-3332AA926F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2323568"/>
        <c:axId val="1392325488"/>
      </c:lineChart>
      <c:catAx>
        <c:axId val="1392323568"/>
        <c:scaling>
          <c:orientation val="minMax"/>
        </c:scaling>
        <c:delete val="0"/>
        <c:axPos val="b"/>
        <c:numFmt formatCode="[$-410]mmm\-yy;@" sourceLinked="0"/>
        <c:majorTickMark val="out"/>
        <c:minorTickMark val="none"/>
        <c:tickLblPos val="low"/>
        <c:spPr>
          <a:noFill/>
          <a:ln w="3175" cap="flat" cmpd="sng" algn="ctr">
            <a:solidFill>
              <a:srgbClr val="000000"/>
            </a:solidFill>
            <a:prstDash val="solid"/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Neutra Text"/>
                <a:ea typeface="Neutra Text"/>
                <a:cs typeface="Neutra Text"/>
              </a:defRPr>
            </a:pPr>
            <a:endParaRPr lang="it-IT"/>
          </a:p>
        </c:txPr>
        <c:crossAx val="1392325488"/>
        <c:crosses val="autoZero"/>
        <c:auto val="1"/>
        <c:lblAlgn val="ctr"/>
        <c:lblOffset val="100"/>
        <c:noMultiLvlLbl val="0"/>
      </c:catAx>
      <c:valAx>
        <c:axId val="1392325488"/>
        <c:scaling>
          <c:orientation val="minMax"/>
          <c:max val="800"/>
          <c:min val="0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rgbClr val="000000"/>
                </a:solidFill>
                <a:latin typeface="Neutra Text"/>
                <a:ea typeface="Neutra Text"/>
                <a:cs typeface="Neutra Text"/>
              </a:defRPr>
            </a:pPr>
            <a:endParaRPr lang="it-IT"/>
          </a:p>
        </c:txPr>
        <c:crossAx val="1392323568"/>
        <c:crosses val="autoZero"/>
        <c:crossBetween val="between"/>
        <c:majorUnit val="100"/>
      </c:valAx>
      <c:spPr>
        <a:noFill/>
        <a:ln>
          <a:solidFill>
            <a:schemeClr val="bg1"/>
          </a:solidFill>
        </a:ln>
        <a:effectLst/>
      </c:spPr>
    </c:plotArea>
    <c:legend>
      <c:legendPos val="b"/>
      <c:overlay val="0"/>
      <c:spPr>
        <a:noFill/>
        <a:ln w="25400"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000000"/>
              </a:solidFill>
              <a:latin typeface="Neutra Text"/>
              <a:ea typeface="Neutra Text"/>
              <a:cs typeface="Neutra Text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25400" cap="flat" cmpd="sng" algn="ctr">
      <a:noFill/>
      <a:round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9774448944575161E-2"/>
          <c:y val="0.11157983487963341"/>
          <c:w val="0.85835186397855301"/>
          <c:h val="0.77142327820026468"/>
        </c:manualLayout>
      </c:layout>
      <c:lineChart>
        <c:grouping val="standard"/>
        <c:varyColors val="0"/>
        <c:ser>
          <c:idx val="0"/>
          <c:order val="0"/>
          <c:tx>
            <c:v>ACAR</c:v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numRef>
              <c:f>'Event study'!$C$20:$C$22</c:f>
              <c:numCache>
                <c:formatCode>General</c:formatCode>
                <c:ptCount val="3"/>
              </c:numCache>
            </c:numRef>
          </c:cat>
          <c:val>
            <c:numRef>
              <c:f>'Event study'!$D$20:$D$22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F6-4FCD-881F-C963BA22D4BE}"/>
            </c:ext>
          </c:extLst>
        </c:ser>
        <c:ser>
          <c:idx val="1"/>
          <c:order val="1"/>
          <c:tx>
            <c:v>Intervallo di confidenza 95%</c:v>
          </c:tx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'Event study'!$C$20:$C$22</c:f>
              <c:numCache>
                <c:formatCode>General</c:formatCode>
                <c:ptCount val="3"/>
              </c:numCache>
            </c:numRef>
          </c:cat>
          <c:val>
            <c:numRef>
              <c:f>'Event study'!$Q$4:$Q$6</c:f>
              <c:numCache>
                <c:formatCode>General</c:formatCode>
                <c:ptCount val="3"/>
                <c:pt idx="0">
                  <c:v>-0.48438072699740498</c:v>
                </c:pt>
                <c:pt idx="1">
                  <c:v>-0.64140422185538526</c:v>
                </c:pt>
                <c:pt idx="2">
                  <c:v>-0.69448824441675272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F6-4FCD-881F-C963BA22D4BE}"/>
            </c:ext>
          </c:extLst>
        </c:ser>
        <c:ser>
          <c:idx val="2"/>
          <c:order val="2"/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'Event study'!$C$20:$C$22</c:f>
              <c:numCache>
                <c:formatCode>General</c:formatCode>
                <c:ptCount val="3"/>
              </c:numCache>
            </c:numRef>
          </c:cat>
          <c:val>
            <c:numRef>
              <c:f>'Event study'!$R$4:$R$6</c:f>
              <c:numCache>
                <c:formatCode>General</c:formatCode>
                <c:ptCount val="3"/>
                <c:pt idx="0">
                  <c:v>0.33390204667659251</c:v>
                </c:pt>
                <c:pt idx="1">
                  <c:v>0.2424421905038053</c:v>
                </c:pt>
                <c:pt idx="2">
                  <c:v>0.25038331489108068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FF6-4FCD-881F-C963BA22D4BE}"/>
            </c:ext>
          </c:extLst>
        </c:ser>
        <c:ser>
          <c:idx val="4"/>
          <c:order val="3"/>
          <c:tx>
            <c:v>Intervallo di confidenza 68%</c:v>
          </c:tx>
          <c:spPr>
            <a:ln w="12700">
              <a:solidFill>
                <a:sysClr val="windowText" lastClr="000000">
                  <a:lumMod val="75000"/>
                  <a:lumOff val="25000"/>
                </a:sysClr>
              </a:solidFill>
              <a:prstDash val="sysDot"/>
            </a:ln>
          </c:spPr>
          <c:marker>
            <c:symbol val="none"/>
          </c:marker>
          <c:val>
            <c:numRef>
              <c:f>'Event study'!$T$4:$T$6</c:f>
              <c:numCache>
                <c:formatCode>General</c:formatCode>
                <c:ptCount val="3"/>
                <c:pt idx="0">
                  <c:v>0.1335062653686748</c:v>
                </c:pt>
                <c:pt idx="1">
                  <c:v>2.5990007885228011E-2</c:v>
                </c:pt>
                <c:pt idx="2">
                  <c:v>1.8986198325897014E-2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FF6-4FCD-881F-C963BA22D4BE}"/>
            </c:ext>
          </c:extLst>
        </c:ser>
        <c:ser>
          <c:idx val="5"/>
          <c:order val="4"/>
          <c:spPr>
            <a:ln w="1270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val>
            <c:numRef>
              <c:f>'Event study'!$U$4:$U$6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FF6-4FCD-881F-C963BA22D4BE}"/>
            </c:ext>
          </c:extLst>
        </c:ser>
        <c:ser>
          <c:idx val="3"/>
          <c:order val="5"/>
          <c:spPr>
            <a:ln w="12700">
              <a:solidFill>
                <a:srgbClr val="EEECE1">
                  <a:lumMod val="25000"/>
                </a:srgbClr>
              </a:solidFill>
              <a:prstDash val="sysDot"/>
            </a:ln>
          </c:spPr>
          <c:marker>
            <c:symbol val="none"/>
          </c:marker>
          <c:val>
            <c:numRef>
              <c:f>'Event study'!$S$4:$S$6</c:f>
              <c:numCache>
                <c:formatCode>General</c:formatCode>
                <c:ptCount val="3"/>
                <c:pt idx="0">
                  <c:v>-0.28398494568948718</c:v>
                </c:pt>
                <c:pt idx="1">
                  <c:v>-0.42495203923680802</c:v>
                </c:pt>
                <c:pt idx="2">
                  <c:v>-0.46309112785156903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FF6-4FCD-881F-C963BA22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  <c:max val="1"/>
          <c:min val="-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6799"/>
        <c:crosses val="autoZero"/>
        <c:crossBetween val="midCat"/>
        <c:majorUnit val="1"/>
      </c:valAx>
      <c:spPr>
        <a:noFill/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62711475104576697"/>
          <c:w val="0.82887663096431174"/>
          <c:h val="0.2948573923950487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it-IT"/>
        </a:p>
      </c:txPr>
    </c:legend>
    <c:plotVisOnly val="1"/>
    <c:dispBlanksAs val="gap"/>
    <c:showDLblsOverMax val="0"/>
    <c:extLst/>
  </c:chart>
  <c:spPr>
    <a:noFill/>
    <a:ln w="9525">
      <a:noFill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8.4862167971386543E-2"/>
          <c:y val="0.11334597721737824"/>
          <c:w val="0.83255001146843555"/>
          <c:h val="0.7654211353880197"/>
        </c:manualLayout>
      </c:layout>
      <c:lineChart>
        <c:grouping val="standard"/>
        <c:varyColors val="0"/>
        <c:ser>
          <c:idx val="0"/>
          <c:order val="0"/>
          <c:tx>
            <c:v>ACAR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'Event study'!$C$44:$C$46</c:f>
              <c:numCache>
                <c:formatCode>General</c:formatCode>
                <c:ptCount val="3"/>
              </c:numCache>
            </c:numRef>
          </c:cat>
          <c:val>
            <c:numRef>
              <c:f>'Event study'!$D$44:$D$46</c:f>
              <c:numCache>
                <c:formatCode>General</c:formatCode>
                <c:ptCount val="3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332-4CDB-92D0-92F68418B4A0}"/>
            </c:ext>
          </c:extLst>
        </c:ser>
        <c:ser>
          <c:idx val="1"/>
          <c:order val="1"/>
          <c:tx>
            <c:v>Intervallo di confidenza 95%</c:v>
          </c:tx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'Event study'!$C$44:$C$46</c:f>
              <c:numCache>
                <c:formatCode>General</c:formatCode>
                <c:ptCount val="3"/>
              </c:numCache>
            </c:numRef>
          </c:cat>
          <c:val>
            <c:numRef>
              <c:f>'Event study'!$Q$12:$Q$14</c:f>
              <c:numCache>
                <c:formatCode>General</c:formatCode>
                <c:ptCount val="3"/>
                <c:pt idx="0">
                  <c:v>-1.2969093639398608</c:v>
                </c:pt>
                <c:pt idx="1">
                  <c:v>-1.3109309712184842</c:v>
                </c:pt>
                <c:pt idx="2">
                  <c:v>-1.3057824321265015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332-4CDB-92D0-92F68418B4A0}"/>
            </c:ext>
          </c:extLst>
        </c:ser>
        <c:ser>
          <c:idx val="2"/>
          <c:order val="2"/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'Event study'!$C$44:$C$46</c:f>
              <c:numCache>
                <c:formatCode>General</c:formatCode>
                <c:ptCount val="3"/>
              </c:numCache>
            </c:numRef>
          </c:cat>
          <c:val>
            <c:numRef>
              <c:f>'Event study'!$R$12:$R$14</c:f>
              <c:numCache>
                <c:formatCode>General</c:formatCode>
                <c:ptCount val="3"/>
                <c:pt idx="0">
                  <c:v>-4.6961780526687424E-2</c:v>
                </c:pt>
                <c:pt idx="1">
                  <c:v>-1.7112303773533677E-2</c:v>
                </c:pt>
                <c:pt idx="2">
                  <c:v>3.0467741747249311E-2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332-4CDB-92D0-92F68418B4A0}"/>
            </c:ext>
          </c:extLst>
        </c:ser>
        <c:ser>
          <c:idx val="3"/>
          <c:order val="3"/>
          <c:spPr>
            <a:ln w="12700">
              <a:solidFill>
                <a:srgbClr val="EEECE1">
                  <a:lumMod val="25000"/>
                </a:srgbClr>
              </a:solidFill>
              <a:prstDash val="sysDot"/>
            </a:ln>
          </c:spPr>
          <c:marker>
            <c:symbol val="none"/>
          </c:marker>
          <c:cat>
            <c:numRef>
              <c:f>'Event study'!$C$44:$C$46</c:f>
              <c:numCache>
                <c:formatCode>General</c:formatCode>
                <c:ptCount val="3"/>
              </c:numCache>
            </c:numRef>
          </c:cat>
          <c:val>
            <c:numRef>
              <c:f>'Event study'!$S$12:$S$14</c:f>
              <c:numCache>
                <c:formatCode>General</c:formatCode>
                <c:ptCount val="3"/>
                <c:pt idx="0">
                  <c:v>-0.99079975167541012</c:v>
                </c:pt>
                <c:pt idx="1">
                  <c:v>-0.99407742000747601</c:v>
                </c:pt>
                <c:pt idx="2">
                  <c:v>-0.97853749158599101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332-4CDB-92D0-92F68418B4A0}"/>
            </c:ext>
          </c:extLst>
        </c:ser>
        <c:ser>
          <c:idx val="4"/>
          <c:order val="4"/>
          <c:tx>
            <c:v>Intervallo di confidenza 68%</c:v>
          </c:tx>
          <c:spPr>
            <a:ln w="12700" cap="rnd">
              <a:solidFill>
                <a:srgbClr val="EEECE1">
                  <a:lumMod val="25000"/>
                </a:srgbClr>
              </a:solidFill>
              <a:prstDash val="sysDot"/>
              <a:round/>
            </a:ln>
            <a:effectLst/>
          </c:spPr>
          <c:marker>
            <c:symbol val="none"/>
          </c:marker>
          <c:cat>
            <c:numRef>
              <c:f>'Event study'!$C$44:$C$46</c:f>
              <c:numCache>
                <c:formatCode>General</c:formatCode>
                <c:ptCount val="3"/>
              </c:numCache>
            </c:numRef>
          </c:cat>
          <c:val>
            <c:numRef>
              <c:f>'Event study'!$T$12:$T$14</c:f>
              <c:numCache>
                <c:formatCode>General</c:formatCode>
                <c:ptCount val="3"/>
                <c:pt idx="0">
                  <c:v>-0.35307139279113803</c:v>
                </c:pt>
                <c:pt idx="1">
                  <c:v>-0.33396585498454195</c:v>
                </c:pt>
                <c:pt idx="2">
                  <c:v>-0.29677719879326103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332-4CDB-92D0-92F68418B4A0}"/>
            </c:ext>
          </c:extLst>
        </c:ser>
        <c:ser>
          <c:idx val="5"/>
          <c:order val="5"/>
          <c:spPr>
            <a:ln w="12700">
              <a:solidFill>
                <a:sysClr val="windowText" lastClr="000000"/>
              </a:solidFill>
              <a:prstDash val="dash"/>
            </a:ln>
          </c:spPr>
          <c:marker>
            <c:symbol val="none"/>
          </c:marker>
          <c:val>
            <c:numRef>
              <c:f>'Event study'!$U$4:$U$6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332-4CDB-92D0-92F68418B4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[$-410]mmm\-yy;@" sourceLinked="0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  <c:max val="1"/>
          <c:min val="-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6799"/>
        <c:crosses val="autoZero"/>
        <c:crossBetween val="midCat"/>
        <c:majorUnit val="1"/>
      </c:valAx>
      <c:spPr>
        <a:noFill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0"/>
          <c:y val="0.6211126082335221"/>
          <c:w val="0.8387011929106889"/>
          <c:h val="0.2948573923950487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it-IT"/>
        </a:p>
      </c:txPr>
    </c:legend>
    <c:plotVisOnly val="1"/>
    <c:dispBlanksAs val="gap"/>
    <c:showDLblsOverMax val="0"/>
    <c:extLst/>
  </c:chart>
  <c:spPr>
    <a:noFill/>
    <a:ln w="9525">
      <a:noFill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5.4593177658236389E-3"/>
          <c:y val="8.3534138659434928E-3"/>
          <c:w val="0.99454068223417635"/>
          <c:h val="0.99164658613405654"/>
        </c:manualLayout>
      </c:layout>
      <c:lineChart>
        <c:grouping val="standard"/>
        <c:varyColors val="0"/>
        <c:ser>
          <c:idx val="0"/>
          <c:order val="0"/>
          <c:tx>
            <c:v>ACAR</c:v>
          </c:tx>
          <c:spPr>
            <a:ln w="127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study'!$D$28:$D$43</c:f>
              <c:numCache>
                <c:formatCode>General</c:formatCode>
                <c:ptCount val="16"/>
                <c:pt idx="0">
                  <c:v>-8.9534396509747899E-2</c:v>
                </c:pt>
                <c:pt idx="1">
                  <c:v>-0.38810602985401998</c:v>
                </c:pt>
                <c:pt idx="2">
                  <c:v>-0.43825335726260001</c:v>
                </c:pt>
                <c:pt idx="3">
                  <c:v>-0.423292958195019</c:v>
                </c:pt>
                <c:pt idx="4">
                  <c:v>-0.87524729532026302</c:v>
                </c:pt>
                <c:pt idx="5">
                  <c:v>-0.91137071056834595</c:v>
                </c:pt>
                <c:pt idx="6">
                  <c:v>-1.42360170327899</c:v>
                </c:pt>
                <c:pt idx="7">
                  <c:v>-1.39357457365478</c:v>
                </c:pt>
                <c:pt idx="8">
                  <c:v>-1.7024954079075001</c:v>
                </c:pt>
                <c:pt idx="9">
                  <c:v>-1.7988072127319501</c:v>
                </c:pt>
                <c:pt idx="10">
                  <c:v>-1.7695278768266101</c:v>
                </c:pt>
                <c:pt idx="11">
                  <c:v>-2.05679318845965</c:v>
                </c:pt>
                <c:pt idx="12">
                  <c:v>-2.2145105551008601</c:v>
                </c:pt>
                <c:pt idx="13">
                  <c:v>-2.7463694119080002</c:v>
                </c:pt>
                <c:pt idx="14">
                  <c:v>-2.5636224338543601</c:v>
                </c:pt>
                <c:pt idx="15">
                  <c:v>-2.6206114083976999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F2-4C0F-9206-0340DF1E6CBE}"/>
            </c:ext>
          </c:extLst>
        </c:ser>
        <c:ser>
          <c:idx val="1"/>
          <c:order val="1"/>
          <c:tx>
            <c:v>Intervallo di confidenza 95%</c:v>
          </c:tx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study'!$Q$28:$Q$43</c:f>
              <c:numCache>
                <c:formatCode>General</c:formatCode>
                <c:ptCount val="16"/>
                <c:pt idx="0">
                  <c:v>-1.0214057128967247</c:v>
                </c:pt>
                <c:pt idx="1">
                  <c:v>-1.3946420908186832</c:v>
                </c:pt>
                <c:pt idx="2">
                  <c:v>-1.5142856679948222</c:v>
                </c:pt>
                <c:pt idx="3">
                  <c:v>-1.5645975737368967</c:v>
                </c:pt>
                <c:pt idx="4">
                  <c:v>-2.0782879917119774</c:v>
                </c:pt>
                <c:pt idx="5">
                  <c:v>-2.1731304376527572</c:v>
                </c:pt>
                <c:pt idx="6">
                  <c:v>-2.7414667572999214</c:v>
                </c:pt>
                <c:pt idx="7">
                  <c:v>-2.7652520110747663</c:v>
                </c:pt>
                <c:pt idx="8">
                  <c:v>-3.1259523563413198</c:v>
                </c:pt>
                <c:pt idx="9">
                  <c:v>-3.2722251357130672</c:v>
                </c:pt>
                <c:pt idx="10">
                  <c:v>-3.2912673642157806</c:v>
                </c:pt>
                <c:pt idx="11">
                  <c:v>-3.6253663487543566</c:v>
                </c:pt>
                <c:pt idx="12">
                  <c:v>-3.8285590211991947</c:v>
                </c:pt>
                <c:pt idx="13">
                  <c:v>-4.4046465728891953</c:v>
                </c:pt>
                <c:pt idx="14">
                  <c:v>-4.2649789027782958</c:v>
                </c:pt>
                <c:pt idx="15">
                  <c:v>-4.363983005638743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F2-4C0F-9206-0340DF1E6CBE}"/>
            </c:ext>
          </c:extLst>
        </c:ser>
        <c:ser>
          <c:idx val="2"/>
          <c:order val="2"/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study'!$R$28:$R$43</c:f>
              <c:numCache>
                <c:formatCode>General</c:formatCode>
                <c:ptCount val="16"/>
                <c:pt idx="0">
                  <c:v>0.84233691987722892</c:v>
                </c:pt>
                <c:pt idx="1">
                  <c:v>0.61843003111064321</c:v>
                </c:pt>
                <c:pt idx="2">
                  <c:v>0.63777895346962232</c:v>
                </c:pt>
                <c:pt idx="3">
                  <c:v>0.71801165734685879</c:v>
                </c:pt>
                <c:pt idx="4">
                  <c:v>0.32779340107145138</c:v>
                </c:pt>
                <c:pt idx="5">
                  <c:v>0.35038901651606524</c:v>
                </c:pt>
                <c:pt idx="6">
                  <c:v>-0.1057366492580587</c:v>
                </c:pt>
                <c:pt idx="7">
                  <c:v>-2.1897136234793946E-2</c:v>
                </c:pt>
                <c:pt idx="8">
                  <c:v>-0.27903845947368011</c:v>
                </c:pt>
                <c:pt idx="9">
                  <c:v>-0.32538928975083303</c:v>
                </c:pt>
                <c:pt idx="10">
                  <c:v>-0.24778838943743953</c:v>
                </c:pt>
                <c:pt idx="11">
                  <c:v>-0.48822002816494359</c:v>
                </c:pt>
                <c:pt idx="12">
                  <c:v>-0.60046208900252585</c:v>
                </c:pt>
                <c:pt idx="13">
                  <c:v>-1.0880922509268049</c:v>
                </c:pt>
                <c:pt idx="14">
                  <c:v>-0.86226596493042451</c:v>
                </c:pt>
                <c:pt idx="15">
                  <c:v>-0.87723981115665683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F2-4C0F-9206-0340DF1E6CBE}"/>
            </c:ext>
          </c:extLst>
        </c:ser>
        <c:ser>
          <c:idx val="3"/>
          <c:order val="3"/>
          <c:spPr>
            <a:ln w="12700">
              <a:solidFill>
                <a:srgbClr val="FF0000"/>
              </a:solidFill>
              <a:prstDash val="sysDot"/>
            </a:ln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study'!$S$28:$S$43</c:f>
              <c:numCache>
                <c:formatCode>General</c:formatCode>
                <c:ptCount val="16"/>
                <c:pt idx="0">
                  <c:v>-0.56497894568677687</c:v>
                </c:pt>
                <c:pt idx="1">
                  <c:v>-0.90164483646864402</c:v>
                </c:pt>
                <c:pt idx="2">
                  <c:v>-0.987249434166795</c:v>
                </c:pt>
                <c:pt idx="3">
                  <c:v>-1.005591231430671</c:v>
                </c:pt>
                <c:pt idx="4">
                  <c:v>-1.489043568989505</c:v>
                </c:pt>
                <c:pt idx="5">
                  <c:v>-1.5551256733665149</c:v>
                </c:pt>
                <c:pt idx="6">
                  <c:v>-2.0959818328815061</c:v>
                </c:pt>
                <c:pt idx="7">
                  <c:v>-2.0934100009098748</c:v>
                </c:pt>
                <c:pt idx="8">
                  <c:v>-2.4287489530267958</c:v>
                </c:pt>
                <c:pt idx="9">
                  <c:v>-2.5505510509876221</c:v>
                </c:pt>
                <c:pt idx="10">
                  <c:v>-2.545925574474146</c:v>
                </c:pt>
                <c:pt idx="11">
                  <c:v>-2.8570856171814389</c:v>
                </c:pt>
                <c:pt idx="12">
                  <c:v>-3.0380046704571533</c:v>
                </c:pt>
                <c:pt idx="13">
                  <c:v>-3.5924291879188139</c:v>
                </c:pt>
                <c:pt idx="14">
                  <c:v>-3.4316614486114698</c:v>
                </c:pt>
                <c:pt idx="15">
                  <c:v>-3.5100867131125177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F2-4C0F-9206-0340DF1E6CBE}"/>
            </c:ext>
          </c:extLst>
        </c:ser>
        <c:ser>
          <c:idx val="4"/>
          <c:order val="4"/>
          <c:tx>
            <c:v>Intervallo di confidenza 68%</c:v>
          </c:tx>
          <c:spPr>
            <a:ln w="1270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study'!$T$28:$T$43</c:f>
              <c:numCache>
                <c:formatCode>General</c:formatCode>
                <c:ptCount val="16"/>
                <c:pt idx="0">
                  <c:v>0.38591015266728113</c:v>
                </c:pt>
                <c:pt idx="1">
                  <c:v>0.12543277676060405</c:v>
                </c:pt>
                <c:pt idx="2">
                  <c:v>0.11074271964159504</c:v>
                </c:pt>
                <c:pt idx="3">
                  <c:v>0.15900531504063298</c:v>
                </c:pt>
                <c:pt idx="4">
                  <c:v>-0.26145102165102097</c:v>
                </c:pt>
                <c:pt idx="5">
                  <c:v>-0.26761574777017694</c:v>
                </c:pt>
                <c:pt idx="6">
                  <c:v>-0.75122157367647402</c:v>
                </c:pt>
                <c:pt idx="7">
                  <c:v>-0.69373914639968504</c:v>
                </c:pt>
                <c:pt idx="8">
                  <c:v>-0.97624186278820413</c:v>
                </c:pt>
                <c:pt idx="9">
                  <c:v>-1.0470633744762781</c:v>
                </c:pt>
                <c:pt idx="10">
                  <c:v>-0.99313017917907409</c:v>
                </c:pt>
                <c:pt idx="11">
                  <c:v>-1.256500759737861</c:v>
                </c:pt>
                <c:pt idx="12">
                  <c:v>-1.391016439744567</c:v>
                </c:pt>
                <c:pt idx="13">
                  <c:v>-1.9003096358971863</c:v>
                </c:pt>
                <c:pt idx="14">
                  <c:v>-1.6955834190972501</c:v>
                </c:pt>
                <c:pt idx="15">
                  <c:v>-1.7311361036828821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CF2-4C0F-9206-0340DF1E6CBE}"/>
            </c:ext>
          </c:extLst>
        </c:ser>
        <c:ser>
          <c:idx val="5"/>
          <c:order val="5"/>
          <c:spPr>
            <a:ln w="12700">
              <a:noFill/>
              <a:prstDash val="dash"/>
            </a:ln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study'!$U$28:$U$43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2CF2-4C0F-9206-0340DF1E6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[$-410]mmm\-yy;@" sourceLinked="0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  <c:max val="2"/>
          <c:min val="-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6799"/>
        <c:crosses val="autoZero"/>
        <c:crossBetween val="midCat"/>
        <c:majorUnit val="1"/>
      </c:valAx>
      <c:spPr>
        <a:noFill/>
      </c:spPr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layout>
        <c:manualLayout>
          <c:xMode val="edge"/>
          <c:yMode val="edge"/>
          <c:x val="1.1877276523126208E-2"/>
          <c:y val="0.56109118011107273"/>
          <c:w val="0.84852575485706616"/>
          <c:h val="0.2948573923950487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it-IT"/>
        </a:p>
      </c:txPr>
    </c:legend>
    <c:plotVisOnly val="1"/>
    <c:dispBlanksAs val="gap"/>
    <c:showDLblsOverMax val="0"/>
    <c:extLst/>
  </c:chart>
  <c:spPr>
    <a:noFill/>
    <a:ln w="9525">
      <a:noFill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5.4593177658236389E-3"/>
          <c:y val="8.3534138659434928E-3"/>
          <c:w val="0.99454068223417635"/>
          <c:h val="0.99164658613405654"/>
        </c:manualLayout>
      </c:layout>
      <c:lineChart>
        <c:grouping val="standard"/>
        <c:varyColors val="0"/>
        <c:ser>
          <c:idx val="0"/>
          <c:order val="0"/>
          <c:tx>
            <c:v>ACAR</c:v>
          </c:tx>
          <c:spPr>
            <a:ln w="12700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study'!$D$4:$D$19</c:f>
              <c:numCache>
                <c:formatCode>General</c:formatCode>
                <c:ptCount val="16"/>
                <c:pt idx="0">
                  <c:v>-7.5239340160406204E-2</c:v>
                </c:pt>
                <c:pt idx="1">
                  <c:v>-0.19948101567578999</c:v>
                </c:pt>
                <c:pt idx="2">
                  <c:v>-0.22205246476283599</c:v>
                </c:pt>
                <c:pt idx="3">
                  <c:v>-0.38350519830263402</c:v>
                </c:pt>
                <c:pt idx="4">
                  <c:v>-0.363501944962065</c:v>
                </c:pt>
                <c:pt idx="5">
                  <c:v>-0.46251490236318799</c:v>
                </c:pt>
                <c:pt idx="6">
                  <c:v>-0.60849445083353704</c:v>
                </c:pt>
                <c:pt idx="7">
                  <c:v>-0.53779773037140499</c:v>
                </c:pt>
                <c:pt idx="8">
                  <c:v>-0.67193557223327405</c:v>
                </c:pt>
                <c:pt idx="9">
                  <c:v>-0.66402163749600895</c:v>
                </c:pt>
                <c:pt idx="10">
                  <c:v>-0.63765734518962602</c:v>
                </c:pt>
                <c:pt idx="11">
                  <c:v>-0.87521787195745404</c:v>
                </c:pt>
                <c:pt idx="12">
                  <c:v>-1.0800870077393701</c:v>
                </c:pt>
                <c:pt idx="13">
                  <c:v>-1.23159757695512</c:v>
                </c:pt>
                <c:pt idx="14">
                  <c:v>-1.2863054814672801</c:v>
                </c:pt>
                <c:pt idx="15">
                  <c:v>-1.2573007511207801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2D-4D82-BDB6-9C2FD509E59F}"/>
            </c:ext>
          </c:extLst>
        </c:ser>
        <c:ser>
          <c:idx val="1"/>
          <c:order val="1"/>
          <c:tx>
            <c:v>Intervallo di confidenza 95%</c:v>
          </c:tx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study'!$Q$4:$Q$19</c:f>
              <c:numCache>
                <c:formatCode>General</c:formatCode>
                <c:ptCount val="16"/>
                <c:pt idx="0">
                  <c:v>-0.48438072699740498</c:v>
                </c:pt>
                <c:pt idx="1">
                  <c:v>-0.64140422185538526</c:v>
                </c:pt>
                <c:pt idx="2">
                  <c:v>-0.69448824441675272</c:v>
                </c:pt>
                <c:pt idx="3">
                  <c:v>-0.88459901350529102</c:v>
                </c:pt>
                <c:pt idx="4">
                  <c:v>-0.8917012041166994</c:v>
                </c:pt>
                <c:pt idx="5">
                  <c:v>-1.0164949589614884</c:v>
                </c:pt>
                <c:pt idx="6">
                  <c:v>-1.1871077490265587</c:v>
                </c:pt>
                <c:pt idx="7">
                  <c:v>-1.1400375452150893</c:v>
                </c:pt>
                <c:pt idx="8">
                  <c:v>-1.2969093639398608</c:v>
                </c:pt>
                <c:pt idx="9">
                  <c:v>-1.3109309712184842</c:v>
                </c:pt>
                <c:pt idx="10">
                  <c:v>-1.3057824321265015</c:v>
                </c:pt>
                <c:pt idx="11">
                  <c:v>-1.5639054480988839</c:v>
                </c:pt>
                <c:pt idx="12">
                  <c:v>-1.7887406772202441</c:v>
                </c:pt>
                <c:pt idx="13">
                  <c:v>-1.9596700108556628</c:v>
                </c:pt>
                <c:pt idx="14">
                  <c:v>-2.033292037399185</c:v>
                </c:pt>
                <c:pt idx="15">
                  <c:v>-2.0227341972675763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2D-4D82-BDB6-9C2FD509E59F}"/>
            </c:ext>
          </c:extLst>
        </c:ser>
        <c:ser>
          <c:idx val="2"/>
          <c:order val="2"/>
          <c:spPr>
            <a:ln w="12700" cap="rnd">
              <a:solidFill>
                <a:sysClr val="window" lastClr="FFFFFF">
                  <a:lumMod val="65000"/>
                </a:sys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study'!$R$4:$R$19</c:f>
              <c:numCache>
                <c:formatCode>General</c:formatCode>
                <c:ptCount val="16"/>
                <c:pt idx="0">
                  <c:v>0.33390204667659251</c:v>
                </c:pt>
                <c:pt idx="1">
                  <c:v>0.2424421905038053</c:v>
                </c:pt>
                <c:pt idx="2">
                  <c:v>0.25038331489108068</c:v>
                </c:pt>
                <c:pt idx="3">
                  <c:v>0.11758861690002304</c:v>
                </c:pt>
                <c:pt idx="4">
                  <c:v>0.16469731419256939</c:v>
                </c:pt>
                <c:pt idx="5">
                  <c:v>9.1465154235112422E-2</c:v>
                </c:pt>
                <c:pt idx="6">
                  <c:v>-2.9881152640515496E-2</c:v>
                </c:pt>
                <c:pt idx="7">
                  <c:v>6.4442084472279282E-2</c:v>
                </c:pt>
                <c:pt idx="8">
                  <c:v>-4.6961780526687424E-2</c:v>
                </c:pt>
                <c:pt idx="9">
                  <c:v>-1.7112303773533677E-2</c:v>
                </c:pt>
                <c:pt idx="10">
                  <c:v>3.0467741747249311E-2</c:v>
                </c:pt>
                <c:pt idx="11">
                  <c:v>-0.18653029581602432</c:v>
                </c:pt>
                <c:pt idx="12">
                  <c:v>-0.371433338258496</c:v>
                </c:pt>
                <c:pt idx="13">
                  <c:v>-0.50352514305457707</c:v>
                </c:pt>
                <c:pt idx="14">
                  <c:v>-0.53931892553537519</c:v>
                </c:pt>
                <c:pt idx="15">
                  <c:v>-0.49186730497398379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2D-4D82-BDB6-9C2FD509E59F}"/>
            </c:ext>
          </c:extLst>
        </c:ser>
        <c:ser>
          <c:idx val="4"/>
          <c:order val="3"/>
          <c:tx>
            <c:v>Intervallo di confidenza 68%</c:v>
          </c:tx>
          <c:spPr>
            <a:ln w="12700">
              <a:solidFill>
                <a:srgbClr val="0070C0"/>
              </a:solidFill>
              <a:prstDash val="sysDot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study'!$T$4:$T$19</c:f>
              <c:numCache>
                <c:formatCode>General</c:formatCode>
                <c:ptCount val="16"/>
                <c:pt idx="0">
                  <c:v>0.1335062653686748</c:v>
                </c:pt>
                <c:pt idx="1">
                  <c:v>2.5990007885228011E-2</c:v>
                </c:pt>
                <c:pt idx="2">
                  <c:v>1.8986198325897014E-2</c:v>
                </c:pt>
                <c:pt idx="3">
                  <c:v>-0.12784508850536003</c:v>
                </c:pt>
                <c:pt idx="4">
                  <c:v>-9.4012527026027026E-2</c:v>
                </c:pt>
                <c:pt idx="5">
                  <c:v>-0.17987201634364697</c:v>
                </c:pt>
                <c:pt idx="6">
                  <c:v>-0.31328358440852605</c:v>
                </c:pt>
                <c:pt idx="7">
                  <c:v>-0.23053251871646402</c:v>
                </c:pt>
                <c:pt idx="8">
                  <c:v>-0.35307139279113803</c:v>
                </c:pt>
                <c:pt idx="9">
                  <c:v>-0.33396585498454195</c:v>
                </c:pt>
                <c:pt idx="10">
                  <c:v>-0.29677719879326103</c:v>
                </c:pt>
                <c:pt idx="11">
                  <c:v>-0.52384665964039812</c:v>
                </c:pt>
                <c:pt idx="12">
                  <c:v>-0.71852901310627104</c:v>
                </c:pt>
                <c:pt idx="13">
                  <c:v>-0.86013204945484301</c:v>
                </c:pt>
                <c:pt idx="14">
                  <c:v>-0.90518989170610409</c:v>
                </c:pt>
                <c:pt idx="15">
                  <c:v>-0.86677348267853715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2D-4D82-BDB6-9C2FD509E59F}"/>
            </c:ext>
          </c:extLst>
        </c:ser>
        <c:ser>
          <c:idx val="5"/>
          <c:order val="4"/>
          <c:spPr>
            <a:ln w="12700">
              <a:noFill/>
              <a:prstDash val="dash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study'!$U$4:$U$19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2D-4D82-BDB6-9C2FD509E59F}"/>
            </c:ext>
          </c:extLst>
        </c:ser>
        <c:ser>
          <c:idx val="3"/>
          <c:order val="5"/>
          <c:spPr>
            <a:ln w="12700">
              <a:solidFill>
                <a:srgbClr val="2373A9"/>
              </a:solidFill>
              <a:prstDash val="sysDot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study'!$S$4:$S$19</c:f>
              <c:numCache>
                <c:formatCode>General</c:formatCode>
                <c:ptCount val="16"/>
                <c:pt idx="0">
                  <c:v>-0.28398494568948718</c:v>
                </c:pt>
                <c:pt idx="1">
                  <c:v>-0.42495203923680802</c:v>
                </c:pt>
                <c:pt idx="2">
                  <c:v>-0.46309112785156903</c:v>
                </c:pt>
                <c:pt idx="3">
                  <c:v>-0.63916530809990801</c:v>
                </c:pt>
                <c:pt idx="4">
                  <c:v>-0.63299136289810298</c:v>
                </c:pt>
                <c:pt idx="5">
                  <c:v>-0.74515778838272895</c:v>
                </c:pt>
                <c:pt idx="6">
                  <c:v>-0.90370531725854808</c:v>
                </c:pt>
                <c:pt idx="7">
                  <c:v>-0.84506294202634602</c:v>
                </c:pt>
                <c:pt idx="8">
                  <c:v>-0.99079975167541012</c:v>
                </c:pt>
                <c:pt idx="9">
                  <c:v>-0.99407742000747601</c:v>
                </c:pt>
                <c:pt idx="10">
                  <c:v>-0.97853749158599101</c:v>
                </c:pt>
                <c:pt idx="11">
                  <c:v>-1.22658908427451</c:v>
                </c:pt>
                <c:pt idx="12">
                  <c:v>-1.4416450023724692</c:v>
                </c:pt>
                <c:pt idx="13">
                  <c:v>-1.6030631044553969</c:v>
                </c:pt>
                <c:pt idx="14">
                  <c:v>-1.6674210712284561</c:v>
                </c:pt>
                <c:pt idx="15">
                  <c:v>-1.647828019563023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2D-4D82-BDB6-9C2FD509E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[$-410]mmm\-yy;@" sourceLinked="0"/>
        <c:majorTickMark val="out"/>
        <c:minorTickMark val="none"/>
        <c:tickLblPos val="low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  <c:max val="2"/>
          <c:min val="-5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>
            <a:solidFill>
              <a:srgbClr val="000000"/>
            </a:solidFill>
            <a:prstDash val="solid"/>
          </a:ln>
          <a:effectLst/>
        </c:spPr>
        <c:txPr>
          <a:bodyPr rot="0" vert="horz"/>
          <a:lstStyle/>
          <a:p>
            <a:pPr>
              <a:defRPr b="0" i="0">
                <a:solidFill>
                  <a:srgbClr val="000000"/>
                </a:solidFill>
              </a:defRPr>
            </a:pPr>
            <a:endParaRPr lang="it-IT"/>
          </a:p>
        </c:txPr>
        <c:crossAx val="858016799"/>
        <c:crosses val="autoZero"/>
        <c:crossBetween val="midCat"/>
        <c:majorUnit val="1"/>
      </c:valAx>
      <c:spPr>
        <a:noFill/>
      </c:spPr>
    </c:plotArea>
    <c:legend>
      <c:legendPos val="b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layout>
        <c:manualLayout>
          <c:xMode val="edge"/>
          <c:yMode val="edge"/>
          <c:x val="2.1701838469503437E-2"/>
          <c:y val="0.55508903729882775"/>
          <c:w val="0.82887663096431174"/>
          <c:h val="0.29485739239504877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>
              <a:solidFill>
                <a:srgbClr val="000000"/>
              </a:solidFill>
            </a:defRPr>
          </a:pPr>
          <a:endParaRPr lang="it-IT"/>
        </a:p>
      </c:txPr>
    </c:legend>
    <c:plotVisOnly val="1"/>
    <c:dispBlanksAs val="gap"/>
    <c:showDLblsOverMax val="0"/>
    <c:extLst/>
  </c:chart>
  <c:spPr>
    <a:noFill/>
    <a:ln w="9525">
      <a:noFill/>
    </a:ln>
    <a:effectLst/>
  </c:spPr>
  <c:txPr>
    <a:bodyPr/>
    <a:lstStyle/>
    <a:p>
      <a:pPr>
        <a:defRPr sz="900">
          <a:latin typeface="Neutra Text"/>
          <a:ea typeface="Neutra Text"/>
          <a:cs typeface="Neutra Text"/>
        </a:defRPr>
      </a:pPr>
      <a:endParaRPr lang="it-IT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ACAR</c:v>
          </c:tx>
          <c:spPr>
            <a:ln w="28575" cap="rnd">
              <a:solidFill>
                <a:srgbClr val="00B0F0"/>
              </a:solidFill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study'!$D$4:$D$19</c:f>
              <c:numCache>
                <c:formatCode>General</c:formatCode>
                <c:ptCount val="16"/>
                <c:pt idx="0">
                  <c:v>-7.5239340160406204E-2</c:v>
                </c:pt>
                <c:pt idx="1">
                  <c:v>-0.19948101567578999</c:v>
                </c:pt>
                <c:pt idx="2">
                  <c:v>-0.22205246476283599</c:v>
                </c:pt>
                <c:pt idx="3">
                  <c:v>-0.38350519830263402</c:v>
                </c:pt>
                <c:pt idx="4">
                  <c:v>-0.363501944962065</c:v>
                </c:pt>
                <c:pt idx="5">
                  <c:v>-0.46251490236318799</c:v>
                </c:pt>
                <c:pt idx="6">
                  <c:v>-0.60849445083353704</c:v>
                </c:pt>
                <c:pt idx="7">
                  <c:v>-0.53779773037140499</c:v>
                </c:pt>
                <c:pt idx="8">
                  <c:v>-0.67193557223327405</c:v>
                </c:pt>
                <c:pt idx="9">
                  <c:v>-0.66402163749600895</c:v>
                </c:pt>
                <c:pt idx="10">
                  <c:v>-0.63765734518962602</c:v>
                </c:pt>
                <c:pt idx="11">
                  <c:v>-0.87521787195745404</c:v>
                </c:pt>
                <c:pt idx="12">
                  <c:v>-1.0800870077393701</c:v>
                </c:pt>
                <c:pt idx="13">
                  <c:v>-1.23159757695512</c:v>
                </c:pt>
                <c:pt idx="14">
                  <c:v>-1.2863054814672801</c:v>
                </c:pt>
                <c:pt idx="15">
                  <c:v>-1.2573007511207801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0-FF91-46FD-9325-FAFCC68A1DD1}"/>
            </c:ext>
          </c:extLst>
        </c:ser>
        <c:ser>
          <c:idx val="1"/>
          <c:order val="1"/>
          <c:tx>
            <c:v>Intervallo di confidenza 95%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study'!$Q$4:$Q$19</c:f>
              <c:numCache>
                <c:formatCode>General</c:formatCode>
                <c:ptCount val="16"/>
                <c:pt idx="0">
                  <c:v>-0.48438072699740498</c:v>
                </c:pt>
                <c:pt idx="1">
                  <c:v>-0.64140422185538526</c:v>
                </c:pt>
                <c:pt idx="2">
                  <c:v>-0.69448824441675272</c:v>
                </c:pt>
                <c:pt idx="3">
                  <c:v>-0.88459901350529102</c:v>
                </c:pt>
                <c:pt idx="4">
                  <c:v>-0.8917012041166994</c:v>
                </c:pt>
                <c:pt idx="5">
                  <c:v>-1.0164949589614884</c:v>
                </c:pt>
                <c:pt idx="6">
                  <c:v>-1.1871077490265587</c:v>
                </c:pt>
                <c:pt idx="7">
                  <c:v>-1.1400375452150893</c:v>
                </c:pt>
                <c:pt idx="8">
                  <c:v>-1.2969093639398608</c:v>
                </c:pt>
                <c:pt idx="9">
                  <c:v>-1.3109309712184842</c:v>
                </c:pt>
                <c:pt idx="10">
                  <c:v>-1.3057824321265015</c:v>
                </c:pt>
                <c:pt idx="11">
                  <c:v>-1.5639054480988839</c:v>
                </c:pt>
                <c:pt idx="12">
                  <c:v>-1.7887406772202441</c:v>
                </c:pt>
                <c:pt idx="13">
                  <c:v>-1.9596700108556628</c:v>
                </c:pt>
                <c:pt idx="14">
                  <c:v>-2.033292037399185</c:v>
                </c:pt>
                <c:pt idx="15">
                  <c:v>-2.0227341972675763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2-FF91-46FD-9325-FAFCC68A1DD1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study'!$R$4:$R$19</c:f>
              <c:numCache>
                <c:formatCode>General</c:formatCode>
                <c:ptCount val="16"/>
                <c:pt idx="0">
                  <c:v>0.33390204667659251</c:v>
                </c:pt>
                <c:pt idx="1">
                  <c:v>0.2424421905038053</c:v>
                </c:pt>
                <c:pt idx="2">
                  <c:v>0.25038331489108068</c:v>
                </c:pt>
                <c:pt idx="3">
                  <c:v>0.11758861690002304</c:v>
                </c:pt>
                <c:pt idx="4">
                  <c:v>0.16469731419256939</c:v>
                </c:pt>
                <c:pt idx="5">
                  <c:v>9.1465154235112422E-2</c:v>
                </c:pt>
                <c:pt idx="6">
                  <c:v>-2.9881152640515496E-2</c:v>
                </c:pt>
                <c:pt idx="7">
                  <c:v>6.4442084472279282E-2</c:v>
                </c:pt>
                <c:pt idx="8">
                  <c:v>-4.6961780526687424E-2</c:v>
                </c:pt>
                <c:pt idx="9">
                  <c:v>-1.7112303773533677E-2</c:v>
                </c:pt>
                <c:pt idx="10">
                  <c:v>3.0467741747249311E-2</c:v>
                </c:pt>
                <c:pt idx="11">
                  <c:v>-0.18653029581602432</c:v>
                </c:pt>
                <c:pt idx="12">
                  <c:v>-0.371433338258496</c:v>
                </c:pt>
                <c:pt idx="13">
                  <c:v>-0.50352514305457707</c:v>
                </c:pt>
                <c:pt idx="14">
                  <c:v>-0.53931892553537519</c:v>
                </c:pt>
                <c:pt idx="15">
                  <c:v>-0.49186730497398379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24-FF91-46FD-9325-FAFCC68A1DD1}"/>
            </c:ext>
          </c:extLst>
        </c:ser>
        <c:ser>
          <c:idx val="4"/>
          <c:order val="3"/>
          <c:tx>
            <c:v>Intervallo di confidenza 68%</c:v>
          </c:tx>
          <c:spPr>
            <a:ln>
              <a:solidFill>
                <a:schemeClr val="tx1">
                  <a:lumMod val="75000"/>
                  <a:lumOff val="25000"/>
                </a:schemeClr>
              </a:solidFill>
              <a:prstDash val="sysDot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study'!$T$4:$T$19</c:f>
              <c:numCache>
                <c:formatCode>General</c:formatCode>
                <c:ptCount val="16"/>
                <c:pt idx="0">
                  <c:v>0.1335062653686748</c:v>
                </c:pt>
                <c:pt idx="1">
                  <c:v>2.5990007885228011E-2</c:v>
                </c:pt>
                <c:pt idx="2">
                  <c:v>1.8986198325897014E-2</c:v>
                </c:pt>
                <c:pt idx="3">
                  <c:v>-0.12784508850536003</c:v>
                </c:pt>
                <c:pt idx="4">
                  <c:v>-9.4012527026027026E-2</c:v>
                </c:pt>
                <c:pt idx="5">
                  <c:v>-0.17987201634364697</c:v>
                </c:pt>
                <c:pt idx="6">
                  <c:v>-0.31328358440852605</c:v>
                </c:pt>
                <c:pt idx="7">
                  <c:v>-0.23053251871646402</c:v>
                </c:pt>
                <c:pt idx="8">
                  <c:v>-0.35307139279113803</c:v>
                </c:pt>
                <c:pt idx="9">
                  <c:v>-0.33396585498454195</c:v>
                </c:pt>
                <c:pt idx="10">
                  <c:v>-0.29677719879326103</c:v>
                </c:pt>
                <c:pt idx="11">
                  <c:v>-0.52384665964039812</c:v>
                </c:pt>
                <c:pt idx="12">
                  <c:v>-0.71852901310627104</c:v>
                </c:pt>
                <c:pt idx="13">
                  <c:v>-0.86013204945484301</c:v>
                </c:pt>
                <c:pt idx="14">
                  <c:v>-0.90518989170610409</c:v>
                </c:pt>
                <c:pt idx="15">
                  <c:v>-0.86677348267853715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6-FF91-46FD-9325-FAFCC68A1DD1}"/>
            </c:ext>
          </c:extLst>
        </c:ser>
        <c:ser>
          <c:idx val="5"/>
          <c:order val="4"/>
          <c:spPr>
            <a:ln w="952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study'!$U$4:$U$19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7-FF91-46FD-9325-FAFCC68A1DD1}"/>
            </c:ext>
          </c:extLst>
        </c:ser>
        <c:ser>
          <c:idx val="3"/>
          <c:order val="5"/>
          <c:spPr>
            <a:ln>
              <a:solidFill>
                <a:schemeClr val="bg2">
                  <a:lumMod val="25000"/>
                </a:schemeClr>
              </a:solidFill>
              <a:prstDash val="sysDot"/>
            </a:ln>
          </c:spPr>
          <c:marker>
            <c:symbol val="none"/>
          </c:marker>
          <c:cat>
            <c:strRef>
              <c:f>'Event study'!$C$4:$C$19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study'!$S$4:$S$19</c:f>
              <c:numCache>
                <c:formatCode>General</c:formatCode>
                <c:ptCount val="16"/>
                <c:pt idx="0">
                  <c:v>-0.28398494568948718</c:v>
                </c:pt>
                <c:pt idx="1">
                  <c:v>-0.42495203923680802</c:v>
                </c:pt>
                <c:pt idx="2">
                  <c:v>-0.46309112785156903</c:v>
                </c:pt>
                <c:pt idx="3">
                  <c:v>-0.63916530809990801</c:v>
                </c:pt>
                <c:pt idx="4">
                  <c:v>-0.63299136289810298</c:v>
                </c:pt>
                <c:pt idx="5">
                  <c:v>-0.74515778838272895</c:v>
                </c:pt>
                <c:pt idx="6">
                  <c:v>-0.90370531725854808</c:v>
                </c:pt>
                <c:pt idx="7">
                  <c:v>-0.84506294202634602</c:v>
                </c:pt>
                <c:pt idx="8">
                  <c:v>-0.99079975167541012</c:v>
                </c:pt>
                <c:pt idx="9">
                  <c:v>-0.99407742000747601</c:v>
                </c:pt>
                <c:pt idx="10">
                  <c:v>-0.97853749158599101</c:v>
                </c:pt>
                <c:pt idx="11">
                  <c:v>-1.22658908427451</c:v>
                </c:pt>
                <c:pt idx="12">
                  <c:v>-1.4416450023724692</c:v>
                </c:pt>
                <c:pt idx="13">
                  <c:v>-1.6030631044553969</c:v>
                </c:pt>
                <c:pt idx="14">
                  <c:v>-1.6674210712284561</c:v>
                </c:pt>
                <c:pt idx="15">
                  <c:v>-1.647828019563023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38-FF91-46FD-9325-FAFCC68A1D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b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  <c:max val="2"/>
          <c:min val="-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58016799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4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ACAR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study'!$D$28:$D$43</c:f>
              <c:numCache>
                <c:formatCode>General</c:formatCode>
                <c:ptCount val="16"/>
                <c:pt idx="0">
                  <c:v>-8.9534396509747899E-2</c:v>
                </c:pt>
                <c:pt idx="1">
                  <c:v>-0.38810602985401998</c:v>
                </c:pt>
                <c:pt idx="2">
                  <c:v>-0.43825335726260001</c:v>
                </c:pt>
                <c:pt idx="3">
                  <c:v>-0.423292958195019</c:v>
                </c:pt>
                <c:pt idx="4">
                  <c:v>-0.87524729532026302</c:v>
                </c:pt>
                <c:pt idx="5">
                  <c:v>-0.91137071056834595</c:v>
                </c:pt>
                <c:pt idx="6">
                  <c:v>-1.42360170327899</c:v>
                </c:pt>
                <c:pt idx="7">
                  <c:v>-1.39357457365478</c:v>
                </c:pt>
                <c:pt idx="8">
                  <c:v>-1.7024954079075001</c:v>
                </c:pt>
                <c:pt idx="9">
                  <c:v>-1.7988072127319501</c:v>
                </c:pt>
                <c:pt idx="10">
                  <c:v>-1.7695278768266101</c:v>
                </c:pt>
                <c:pt idx="11">
                  <c:v>-2.05679318845965</c:v>
                </c:pt>
                <c:pt idx="12">
                  <c:v>-2.2145105551008601</c:v>
                </c:pt>
                <c:pt idx="13">
                  <c:v>-2.7463694119080002</c:v>
                </c:pt>
                <c:pt idx="14">
                  <c:v>-2.5636224338543601</c:v>
                </c:pt>
                <c:pt idx="15">
                  <c:v>-2.6206114083976999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6888-4E54-B138-E2D4F794BB02}"/>
            </c:ext>
          </c:extLst>
        </c:ser>
        <c:ser>
          <c:idx val="1"/>
          <c:order val="1"/>
          <c:tx>
            <c:v>Intervallo di confidenza 95%</c:v>
          </c:tx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study'!$Q$28:$Q$43</c:f>
              <c:numCache>
                <c:formatCode>General</c:formatCode>
                <c:ptCount val="16"/>
                <c:pt idx="0">
                  <c:v>-1.0214057128967247</c:v>
                </c:pt>
                <c:pt idx="1">
                  <c:v>-1.3946420908186832</c:v>
                </c:pt>
                <c:pt idx="2">
                  <c:v>-1.5142856679948222</c:v>
                </c:pt>
                <c:pt idx="3">
                  <c:v>-1.5645975737368967</c:v>
                </c:pt>
                <c:pt idx="4">
                  <c:v>-2.0782879917119774</c:v>
                </c:pt>
                <c:pt idx="5">
                  <c:v>-2.1731304376527572</c:v>
                </c:pt>
                <c:pt idx="6">
                  <c:v>-2.7414667572999214</c:v>
                </c:pt>
                <c:pt idx="7">
                  <c:v>-2.7652520110747663</c:v>
                </c:pt>
                <c:pt idx="8">
                  <c:v>-3.1259523563413198</c:v>
                </c:pt>
                <c:pt idx="9">
                  <c:v>-3.2722251357130672</c:v>
                </c:pt>
                <c:pt idx="10">
                  <c:v>-3.2912673642157806</c:v>
                </c:pt>
                <c:pt idx="11">
                  <c:v>-3.6253663487543566</c:v>
                </c:pt>
                <c:pt idx="12">
                  <c:v>-3.8285590211991947</c:v>
                </c:pt>
                <c:pt idx="13">
                  <c:v>-4.4046465728891953</c:v>
                </c:pt>
                <c:pt idx="14">
                  <c:v>-4.2649789027782958</c:v>
                </c:pt>
                <c:pt idx="15">
                  <c:v>-4.363983005638743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6888-4E54-B138-E2D4F794BB02}"/>
            </c:ext>
          </c:extLst>
        </c:ser>
        <c:ser>
          <c:idx val="2"/>
          <c:order val="2"/>
          <c:spPr>
            <a:ln w="28575" cap="rnd">
              <a:solidFill>
                <a:schemeClr val="bg1">
                  <a:lumMod val="6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study'!$R$28:$R$43</c:f>
              <c:numCache>
                <c:formatCode>General</c:formatCode>
                <c:ptCount val="16"/>
                <c:pt idx="0">
                  <c:v>0.84233691987722892</c:v>
                </c:pt>
                <c:pt idx="1">
                  <c:v>0.61843003111064321</c:v>
                </c:pt>
                <c:pt idx="2">
                  <c:v>0.63777895346962232</c:v>
                </c:pt>
                <c:pt idx="3">
                  <c:v>0.71801165734685879</c:v>
                </c:pt>
                <c:pt idx="4">
                  <c:v>0.32779340107145138</c:v>
                </c:pt>
                <c:pt idx="5">
                  <c:v>0.35038901651606524</c:v>
                </c:pt>
                <c:pt idx="6">
                  <c:v>-0.1057366492580587</c:v>
                </c:pt>
                <c:pt idx="7">
                  <c:v>-2.1897136234793946E-2</c:v>
                </c:pt>
                <c:pt idx="8">
                  <c:v>-0.27903845947368011</c:v>
                </c:pt>
                <c:pt idx="9">
                  <c:v>-0.32538928975083303</c:v>
                </c:pt>
                <c:pt idx="10">
                  <c:v>-0.24778838943743953</c:v>
                </c:pt>
                <c:pt idx="11">
                  <c:v>-0.48822002816494359</c:v>
                </c:pt>
                <c:pt idx="12">
                  <c:v>-0.60046208900252585</c:v>
                </c:pt>
                <c:pt idx="13">
                  <c:v>-1.0880922509268049</c:v>
                </c:pt>
                <c:pt idx="14">
                  <c:v>-0.86226596493042451</c:v>
                </c:pt>
                <c:pt idx="15">
                  <c:v>-0.87723981115665683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6888-4E54-B138-E2D4F794BB02}"/>
            </c:ext>
          </c:extLst>
        </c:ser>
        <c:ser>
          <c:idx val="3"/>
          <c:order val="3"/>
          <c:spPr>
            <a:ln>
              <a:solidFill>
                <a:schemeClr val="bg2">
                  <a:lumMod val="25000"/>
                </a:schemeClr>
              </a:solidFill>
              <a:prstDash val="sysDot"/>
            </a:ln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study'!$S$28:$S$43</c:f>
              <c:numCache>
                <c:formatCode>General</c:formatCode>
                <c:ptCount val="16"/>
                <c:pt idx="0">
                  <c:v>-0.56497894568677687</c:v>
                </c:pt>
                <c:pt idx="1">
                  <c:v>-0.90164483646864402</c:v>
                </c:pt>
                <c:pt idx="2">
                  <c:v>-0.987249434166795</c:v>
                </c:pt>
                <c:pt idx="3">
                  <c:v>-1.005591231430671</c:v>
                </c:pt>
                <c:pt idx="4">
                  <c:v>-1.489043568989505</c:v>
                </c:pt>
                <c:pt idx="5">
                  <c:v>-1.5551256733665149</c:v>
                </c:pt>
                <c:pt idx="6">
                  <c:v>-2.0959818328815061</c:v>
                </c:pt>
                <c:pt idx="7">
                  <c:v>-2.0934100009098748</c:v>
                </c:pt>
                <c:pt idx="8">
                  <c:v>-2.4287489530267958</c:v>
                </c:pt>
                <c:pt idx="9">
                  <c:v>-2.5505510509876221</c:v>
                </c:pt>
                <c:pt idx="10">
                  <c:v>-2.545925574474146</c:v>
                </c:pt>
                <c:pt idx="11">
                  <c:v>-2.8570856171814389</c:v>
                </c:pt>
                <c:pt idx="12">
                  <c:v>-3.0380046704571533</c:v>
                </c:pt>
                <c:pt idx="13">
                  <c:v>-3.5924291879188139</c:v>
                </c:pt>
                <c:pt idx="14">
                  <c:v>-3.4316614486114698</c:v>
                </c:pt>
                <c:pt idx="15">
                  <c:v>-3.5100867131125177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6888-4E54-B138-E2D4F794BB02}"/>
            </c:ext>
          </c:extLst>
        </c:ser>
        <c:ser>
          <c:idx val="4"/>
          <c:order val="4"/>
          <c:tx>
            <c:v>Intervallo di confidenza 68%</c:v>
          </c:tx>
          <c:spPr>
            <a:ln w="28575" cap="rnd">
              <a:solidFill>
                <a:schemeClr val="bg2">
                  <a:lumMod val="25000"/>
                </a:schemeClr>
              </a:solidFill>
              <a:prstDash val="sysDot"/>
              <a:round/>
            </a:ln>
            <a:effectLst/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study'!$T$28:$T$43</c:f>
              <c:numCache>
                <c:formatCode>General</c:formatCode>
                <c:ptCount val="16"/>
                <c:pt idx="0">
                  <c:v>0.38591015266728113</c:v>
                </c:pt>
                <c:pt idx="1">
                  <c:v>0.12543277676060405</c:v>
                </c:pt>
                <c:pt idx="2">
                  <c:v>0.11074271964159504</c:v>
                </c:pt>
                <c:pt idx="3">
                  <c:v>0.15900531504063298</c:v>
                </c:pt>
                <c:pt idx="4">
                  <c:v>-0.26145102165102097</c:v>
                </c:pt>
                <c:pt idx="5">
                  <c:v>-0.26761574777017694</c:v>
                </c:pt>
                <c:pt idx="6">
                  <c:v>-0.75122157367647402</c:v>
                </c:pt>
                <c:pt idx="7">
                  <c:v>-0.69373914639968504</c:v>
                </c:pt>
                <c:pt idx="8">
                  <c:v>-0.97624186278820413</c:v>
                </c:pt>
                <c:pt idx="9">
                  <c:v>-1.0470633744762781</c:v>
                </c:pt>
                <c:pt idx="10">
                  <c:v>-0.99313017917907409</c:v>
                </c:pt>
                <c:pt idx="11">
                  <c:v>-1.256500759737861</c:v>
                </c:pt>
                <c:pt idx="12">
                  <c:v>-1.391016439744567</c:v>
                </c:pt>
                <c:pt idx="13">
                  <c:v>-1.9003096358971863</c:v>
                </c:pt>
                <c:pt idx="14">
                  <c:v>-1.6955834190972501</c:v>
                </c:pt>
                <c:pt idx="15">
                  <c:v>-1.7311361036828821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6888-4E54-B138-E2D4F794BB02}"/>
            </c:ext>
          </c:extLst>
        </c:ser>
        <c:ser>
          <c:idx val="5"/>
          <c:order val="5"/>
          <c:spPr>
            <a:ln w="9525">
              <a:solidFill>
                <a:schemeClr val="tx1"/>
              </a:solidFill>
              <a:prstDash val="dash"/>
            </a:ln>
          </c:spPr>
          <c:marker>
            <c:symbol val="none"/>
          </c:marker>
          <c:cat>
            <c:strRef>
              <c:f>'Event study'!$C$28:$C$43</c:f>
              <c:strCache>
                <c:ptCount val="16"/>
                <c:pt idx="1">
                  <c:v>1 gg</c:v>
                </c:pt>
                <c:pt idx="5">
                  <c:v>5 gg</c:v>
                </c:pt>
                <c:pt idx="10">
                  <c:v>10 gg</c:v>
                </c:pt>
                <c:pt idx="15">
                  <c:v>15 gg</c:v>
                </c:pt>
              </c:strCache>
            </c:strRef>
          </c:cat>
          <c:val>
            <c:numRef>
              <c:f>'Event study'!$U$28:$U$43</c:f>
              <c:numCache>
                <c:formatCode>General</c:formatCode>
                <c:ptCount val="1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6888-4E54-B138-E2D4F794B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58016799"/>
        <c:axId val="858017279"/>
      </c:lineChart>
      <c:catAx>
        <c:axId val="858016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58017279"/>
        <c:crosses val="autoZero"/>
        <c:auto val="1"/>
        <c:lblAlgn val="ctr"/>
        <c:lblOffset val="100"/>
        <c:noMultiLvlLbl val="0"/>
      </c:catAx>
      <c:valAx>
        <c:axId val="8580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858016799"/>
        <c:crosses val="autoZero"/>
        <c:crossBetween val="between"/>
      </c:valAx>
    </c:plotArea>
    <c:legend>
      <c:legendPos val="b"/>
      <c:legendEntry>
        <c:idx val="2"/>
        <c:delete val="1"/>
      </c:legendEntry>
      <c:legendEntry>
        <c:idx val="3"/>
        <c:delete val="1"/>
      </c:legendEntry>
      <c:legendEntry>
        <c:idx val="5"/>
        <c:delete val="1"/>
      </c:legendEntry>
      <c:overlay val="0"/>
    </c:legend>
    <c:plotVisOnly val="1"/>
    <c:dispBlanksAs val="gap"/>
    <c:showDLblsOverMax val="0"/>
    <c:extLst/>
  </c:chart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chart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chart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chart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chart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6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46E1FDFB-3C17-4B12-912D-E83A9BF9A0E3}">
  <sheetPr/>
  <sheetViews>
    <sheetView zoomScale="200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76C6E3-34AF-4FB3-9468-F65E90675A7C}">
  <sheetPr/>
  <sheetViews>
    <sheetView zoomScale="200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B4E212DB-5241-4364-B008-2146F86A4E8D}">
  <sheetPr/>
  <sheetViews>
    <sheetView zoomScale="145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5FD3785-A527-4281-88FA-172B904870C3}">
  <sheetPr/>
  <sheetViews>
    <sheetView zoomScale="145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22EF0E1-E170-4606-A4D6-854F3486DC22}">
  <sheetPr/>
  <sheetViews>
    <sheetView zoomScale="160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B31CE7C-A88F-4EF0-AC0B-AED1A30F0F57}">
  <sheetPr/>
  <sheetViews>
    <sheetView zoomScale="160" workbookViewId="0"/>
  </sheetViews>
  <pageMargins left="2.5590555555555556" right="2.755902777777778" top="4.5275555555555549" bottom="4.7244027777777777" header="0.31495833333333334" footer="0.31495833333333334"/>
  <pageSetup paperSize="9" orientation="portrait" r:id="rId1"/>
  <drawing r:id="rId2"/>
</chartsheet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104775</xdr:colOff>
      <xdr:row>1</xdr:row>
      <xdr:rowOff>29255</xdr:rowOff>
    </xdr:from>
    <xdr:to>
      <xdr:col>13</xdr:col>
      <xdr:colOff>771525</xdr:colOff>
      <xdr:row>16</xdr:row>
      <xdr:rowOff>59191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4F8974-36F9-8FD6-F436-D0562BB4CB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76200</xdr:colOff>
      <xdr:row>17</xdr:row>
      <xdr:rowOff>95930</xdr:rowOff>
    </xdr:from>
    <xdr:to>
      <xdr:col>13</xdr:col>
      <xdr:colOff>742950</xdr:colOff>
      <xdr:row>32</xdr:row>
      <xdr:rowOff>125866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02A3AC8-EE2F-CF4D-DC8A-30459E35CC3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2595563" cy="21288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10B205-1D3C-86A7-68B6-8EA765BC9C7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2595563" cy="21288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2A1C44-1C91-A17E-B07E-F9E29DDBAAD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2601310" cy="21283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3479129-59EB-96F6-EC83-D8B2E9D60A2B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2601310" cy="212834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E87BF7A-564B-0A5D-A4F0-22E7236A1B0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2595563" cy="21261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C3E6145-B09B-DF59-9895-70036631CAC7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2595563" cy="212611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5E19FC-B89B-D776-F675-9E0FE5B2B28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239486</xdr:colOff>
      <xdr:row>50</xdr:row>
      <xdr:rowOff>26534</xdr:rowOff>
    </xdr:from>
    <xdr:to>
      <xdr:col>8</xdr:col>
      <xdr:colOff>210911</xdr:colOff>
      <xdr:row>65</xdr:row>
      <xdr:rowOff>55109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8F8BA24-4D2F-A997-E991-D780D128896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216353</xdr:colOff>
      <xdr:row>50</xdr:row>
      <xdr:rowOff>29936</xdr:rowOff>
    </xdr:from>
    <xdr:to>
      <xdr:col>15</xdr:col>
      <xdr:colOff>193221</xdr:colOff>
      <xdr:row>65</xdr:row>
      <xdr:rowOff>61232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6BB83-1DB3-4D4A-84FD-A87313EFBC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Prometeia PBB">
      <a:dk1>
        <a:sysClr val="windowText" lastClr="000000"/>
      </a:dk1>
      <a:lt1>
        <a:sysClr val="window" lastClr="FFFFFF"/>
      </a:lt1>
      <a:dk2>
        <a:srgbClr val="303230"/>
      </a:dk2>
      <a:lt2>
        <a:srgbClr val="EEECE1"/>
      </a:lt2>
      <a:accent1>
        <a:srgbClr val="5FAED1"/>
      </a:accent1>
      <a:accent2>
        <a:srgbClr val="D0CCBC"/>
      </a:accent2>
      <a:accent3>
        <a:srgbClr val="003882"/>
      </a:accent3>
      <a:accent4>
        <a:srgbClr val="666256"/>
      </a:accent4>
      <a:accent5>
        <a:srgbClr val="2373A9"/>
      </a:accent5>
      <a:accent6>
        <a:srgbClr val="E4DC10"/>
      </a:accent6>
      <a:hlink>
        <a:srgbClr val="4F8C0D"/>
      </a:hlink>
      <a:folHlink>
        <a:srgbClr val="4F8C0D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Prometeia PBB">
    <a:dk1>
      <a:sysClr val="windowText" lastClr="000000"/>
    </a:dk1>
    <a:lt1>
      <a:sysClr val="window" lastClr="FFFFFF"/>
    </a:lt1>
    <a:dk2>
      <a:srgbClr val="303230"/>
    </a:dk2>
    <a:lt2>
      <a:srgbClr val="EEECE1"/>
    </a:lt2>
    <a:accent1>
      <a:srgbClr val="5FAED1"/>
    </a:accent1>
    <a:accent2>
      <a:srgbClr val="D0CCBC"/>
    </a:accent2>
    <a:accent3>
      <a:srgbClr val="003882"/>
    </a:accent3>
    <a:accent4>
      <a:srgbClr val="666256"/>
    </a:accent4>
    <a:accent5>
      <a:srgbClr val="2373A9"/>
    </a:accent5>
    <a:accent6>
      <a:srgbClr val="E4DC10"/>
    </a:accent6>
    <a:hlink>
      <a:srgbClr val="4F8C0D"/>
    </a:hlink>
    <a:folHlink>
      <a:srgbClr val="4F8C0D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Prometeia PBB">
    <a:dk1>
      <a:sysClr val="windowText" lastClr="000000"/>
    </a:dk1>
    <a:lt1>
      <a:sysClr val="window" lastClr="FFFFFF"/>
    </a:lt1>
    <a:dk2>
      <a:srgbClr val="303230"/>
    </a:dk2>
    <a:lt2>
      <a:srgbClr val="EEECE1"/>
    </a:lt2>
    <a:accent1>
      <a:srgbClr val="5FAED1"/>
    </a:accent1>
    <a:accent2>
      <a:srgbClr val="D0CCBC"/>
    </a:accent2>
    <a:accent3>
      <a:srgbClr val="003882"/>
    </a:accent3>
    <a:accent4>
      <a:srgbClr val="666256"/>
    </a:accent4>
    <a:accent5>
      <a:srgbClr val="2373A9"/>
    </a:accent5>
    <a:accent6>
      <a:srgbClr val="E4DC10"/>
    </a:accent6>
    <a:hlink>
      <a:srgbClr val="4F8C0D"/>
    </a:hlink>
    <a:folHlink>
      <a:srgbClr val="4F8C0D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3.xml><?xml version="1.0" encoding="utf-8"?>
<a:themeOverride xmlns:a="http://schemas.openxmlformats.org/drawingml/2006/main">
  <a:clrScheme name="Prometeia PBB">
    <a:dk1>
      <a:sysClr val="windowText" lastClr="000000"/>
    </a:dk1>
    <a:lt1>
      <a:sysClr val="window" lastClr="FFFFFF"/>
    </a:lt1>
    <a:dk2>
      <a:srgbClr val="303230"/>
    </a:dk2>
    <a:lt2>
      <a:srgbClr val="EEECE1"/>
    </a:lt2>
    <a:accent1>
      <a:srgbClr val="5FAED1"/>
    </a:accent1>
    <a:accent2>
      <a:srgbClr val="D0CCBC"/>
    </a:accent2>
    <a:accent3>
      <a:srgbClr val="003882"/>
    </a:accent3>
    <a:accent4>
      <a:srgbClr val="666256"/>
    </a:accent4>
    <a:accent5>
      <a:srgbClr val="2373A9"/>
    </a:accent5>
    <a:accent6>
      <a:srgbClr val="E4DC10"/>
    </a:accent6>
    <a:hlink>
      <a:srgbClr val="4F8C0D"/>
    </a:hlink>
    <a:folHlink>
      <a:srgbClr val="4F8C0D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4.xml><?xml version="1.0" encoding="utf-8"?>
<a:themeOverride xmlns:a="http://schemas.openxmlformats.org/drawingml/2006/main">
  <a:clrScheme name="Prometeia PBB">
    <a:dk1>
      <a:sysClr val="windowText" lastClr="000000"/>
    </a:dk1>
    <a:lt1>
      <a:sysClr val="window" lastClr="FFFFFF"/>
    </a:lt1>
    <a:dk2>
      <a:srgbClr val="303230"/>
    </a:dk2>
    <a:lt2>
      <a:srgbClr val="EEECE1"/>
    </a:lt2>
    <a:accent1>
      <a:srgbClr val="5FAED1"/>
    </a:accent1>
    <a:accent2>
      <a:srgbClr val="D0CCBC"/>
    </a:accent2>
    <a:accent3>
      <a:srgbClr val="003882"/>
    </a:accent3>
    <a:accent4>
      <a:srgbClr val="666256"/>
    </a:accent4>
    <a:accent5>
      <a:srgbClr val="2373A9"/>
    </a:accent5>
    <a:accent6>
      <a:srgbClr val="E4DC10"/>
    </a:accent6>
    <a:hlink>
      <a:srgbClr val="4F8C0D"/>
    </a:hlink>
    <a:folHlink>
      <a:srgbClr val="4F8C0D"/>
    </a:folHlink>
  </a:clrScheme>
  <a:fontScheme name="Office">
    <a:majorFont>
      <a:latin typeface="Cambria"/>
      <a:ea typeface=""/>
      <a:cs typeface="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F20" sqref="F20"/>
    </sheetView>
  </sheetViews>
  <sheetFormatPr defaultColWidth="11.140625"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2011</v>
      </c>
      <c r="B2">
        <v>4</v>
      </c>
      <c r="C2">
        <v>0</v>
      </c>
      <c r="D2">
        <v>4.4444444444444402</v>
      </c>
      <c r="E2">
        <v>0</v>
      </c>
    </row>
    <row r="3" spans="1:5" x14ac:dyDescent="0.25">
      <c r="A3">
        <v>2012</v>
      </c>
      <c r="B3">
        <v>27</v>
      </c>
      <c r="C3">
        <v>0</v>
      </c>
      <c r="D3">
        <v>30</v>
      </c>
      <c r="E3">
        <v>0</v>
      </c>
    </row>
    <row r="4" spans="1:5" x14ac:dyDescent="0.25">
      <c r="A4">
        <v>2013</v>
      </c>
      <c r="B4">
        <v>9</v>
      </c>
      <c r="C4">
        <v>2</v>
      </c>
      <c r="D4">
        <v>10</v>
      </c>
      <c r="E4">
        <v>15.384615384615399</v>
      </c>
    </row>
    <row r="5" spans="1:5" x14ac:dyDescent="0.25">
      <c r="A5">
        <v>2014</v>
      </c>
      <c r="B5">
        <v>99</v>
      </c>
      <c r="C5">
        <v>17</v>
      </c>
      <c r="D5">
        <v>110</v>
      </c>
      <c r="E5">
        <v>130.769230769231</v>
      </c>
    </row>
    <row r="6" spans="1:5" x14ac:dyDescent="0.25">
      <c r="A6">
        <v>2015</v>
      </c>
      <c r="B6">
        <v>90</v>
      </c>
      <c r="C6">
        <v>13</v>
      </c>
      <c r="D6">
        <v>100</v>
      </c>
      <c r="E6">
        <v>100</v>
      </c>
    </row>
    <row r="7" spans="1:5" x14ac:dyDescent="0.25">
      <c r="A7">
        <v>2016</v>
      </c>
      <c r="B7">
        <v>67</v>
      </c>
      <c r="C7">
        <v>18</v>
      </c>
      <c r="D7">
        <v>74.4444444444444</v>
      </c>
      <c r="E7">
        <v>138.461538461538</v>
      </c>
    </row>
    <row r="8" spans="1:5" x14ac:dyDescent="0.25">
      <c r="A8">
        <v>2017</v>
      </c>
      <c r="B8">
        <v>173</v>
      </c>
      <c r="C8">
        <v>20</v>
      </c>
      <c r="D8">
        <v>192.222222222222</v>
      </c>
      <c r="E8">
        <v>153.84615384615401</v>
      </c>
    </row>
    <row r="9" spans="1:5" x14ac:dyDescent="0.25">
      <c r="A9">
        <v>2018</v>
      </c>
      <c r="B9">
        <v>413</v>
      </c>
      <c r="C9">
        <v>46</v>
      </c>
      <c r="D9">
        <v>458.88888888888903</v>
      </c>
      <c r="E9">
        <v>353.84615384615398</v>
      </c>
    </row>
    <row r="10" spans="1:5" x14ac:dyDescent="0.25">
      <c r="A10">
        <v>2019</v>
      </c>
      <c r="B10">
        <v>326</v>
      </c>
      <c r="C10">
        <v>39</v>
      </c>
      <c r="D10">
        <v>362.222222222222</v>
      </c>
      <c r="E10">
        <v>300</v>
      </c>
    </row>
    <row r="11" spans="1:5" x14ac:dyDescent="0.25">
      <c r="A11">
        <v>2020</v>
      </c>
      <c r="B11">
        <v>334</v>
      </c>
      <c r="C11">
        <v>34</v>
      </c>
      <c r="D11">
        <v>371.11111111111097</v>
      </c>
      <c r="E11">
        <v>261.538461538462</v>
      </c>
    </row>
    <row r="12" spans="1:5" x14ac:dyDescent="0.25">
      <c r="A12">
        <v>2021</v>
      </c>
      <c r="B12">
        <v>264</v>
      </c>
      <c r="C12">
        <v>26</v>
      </c>
      <c r="D12">
        <v>293.33333333333297</v>
      </c>
      <c r="E12">
        <v>200</v>
      </c>
    </row>
    <row r="13" spans="1:5" x14ac:dyDescent="0.25">
      <c r="A13">
        <v>2022</v>
      </c>
      <c r="B13">
        <v>290</v>
      </c>
      <c r="C13">
        <v>36</v>
      </c>
      <c r="D13">
        <v>322.222222222222</v>
      </c>
      <c r="E13">
        <v>276.92307692307702</v>
      </c>
    </row>
    <row r="14" spans="1:5" x14ac:dyDescent="0.25">
      <c r="A14">
        <v>2023</v>
      </c>
      <c r="B14">
        <v>404</v>
      </c>
      <c r="C14">
        <v>68</v>
      </c>
      <c r="D14">
        <v>448.88888888888903</v>
      </c>
      <c r="E14">
        <v>523.07692307692298</v>
      </c>
    </row>
    <row r="19" spans="1:3" x14ac:dyDescent="0.25">
      <c r="A19" s="3" t="s">
        <v>5</v>
      </c>
    </row>
    <row r="21" spans="1:3" x14ac:dyDescent="0.25">
      <c r="A21" t="s">
        <v>0</v>
      </c>
      <c r="B21" t="s">
        <v>6</v>
      </c>
      <c r="C21" t="s">
        <v>7</v>
      </c>
    </row>
    <row r="22" spans="1:3" x14ac:dyDescent="0.25">
      <c r="A22" t="s">
        <v>8</v>
      </c>
      <c r="B22">
        <v>80.434782608695699</v>
      </c>
      <c r="C22">
        <v>73.862310385064205</v>
      </c>
    </row>
    <row r="23" spans="1:3" x14ac:dyDescent="0.25">
      <c r="A23" t="s">
        <v>9</v>
      </c>
      <c r="B23">
        <v>100</v>
      </c>
      <c r="C23">
        <v>100</v>
      </c>
    </row>
    <row r="24" spans="1:3" x14ac:dyDescent="0.25">
      <c r="A24" t="s">
        <v>10</v>
      </c>
      <c r="B24">
        <v>206.52173913043501</v>
      </c>
      <c r="C24">
        <v>128.82147024504101</v>
      </c>
    </row>
    <row r="25" spans="1:3" x14ac:dyDescent="0.25">
      <c r="A25" t="s">
        <v>11</v>
      </c>
      <c r="B25">
        <v>147.826086956522</v>
      </c>
      <c r="C25">
        <v>94.515752625437599</v>
      </c>
    </row>
    <row r="26" spans="1:3" x14ac:dyDescent="0.25">
      <c r="A26" t="s">
        <v>12</v>
      </c>
      <c r="B26">
        <v>189.130434782609</v>
      </c>
      <c r="C26">
        <v>96.149358226371106</v>
      </c>
    </row>
    <row r="27" spans="1:3" x14ac:dyDescent="0.25">
      <c r="A27" t="s">
        <v>13</v>
      </c>
      <c r="B27">
        <v>156.52173913043501</v>
      </c>
      <c r="C27">
        <v>124.504084014002</v>
      </c>
    </row>
    <row r="28" spans="1:3" x14ac:dyDescent="0.25">
      <c r="A28" t="s">
        <v>14</v>
      </c>
      <c r="B28">
        <v>295.65217391304299</v>
      </c>
      <c r="C28">
        <v>203.85064177362901</v>
      </c>
    </row>
    <row r="29" spans="1:3" x14ac:dyDescent="0.25">
      <c r="A29" t="s">
        <v>15</v>
      </c>
      <c r="B29">
        <v>193.47826086956499</v>
      </c>
      <c r="C29">
        <v>166.86114352392099</v>
      </c>
    </row>
    <row r="30" spans="1:3" x14ac:dyDescent="0.25">
      <c r="A30" t="s">
        <v>16</v>
      </c>
      <c r="B30">
        <v>673.91304347826099</v>
      </c>
      <c r="C30">
        <v>298.83313885647601</v>
      </c>
    </row>
    <row r="31" spans="1:3" x14ac:dyDescent="0.25">
      <c r="A31" t="s">
        <v>17</v>
      </c>
      <c r="B31">
        <v>700</v>
      </c>
      <c r="C31">
        <v>284.48074679113199</v>
      </c>
    </row>
  </sheetData>
  <pageMargins left="0.7" right="0.7" top="0.75" bottom="0.75" header="0.3" footer="0.3"/>
  <pageSetup paperSize="9" orientation="portrait" horizontalDpi="300" verticalDpi="300"/>
  <headerFooter>
    <oddFooter>&amp;C_x000D_&amp;1#&amp;"Calibri"&amp;10&amp;K000000 Internal And Trusted Partner Use Only Document owned by Prometeia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9BF3A-1059-4D91-934A-8C3D4575EA2F}">
  <dimension ref="A1:U43"/>
  <sheetViews>
    <sheetView topLeftCell="I1" workbookViewId="0">
      <selection activeCell="S4" sqref="S4"/>
    </sheetView>
  </sheetViews>
  <sheetFormatPr defaultRowHeight="15" x14ac:dyDescent="0.25"/>
  <sheetData>
    <row r="1" spans="1:21" x14ac:dyDescent="0.25">
      <c r="A1" t="s">
        <v>18</v>
      </c>
    </row>
    <row r="3" spans="1:21" x14ac:dyDescent="0.25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40</v>
      </c>
      <c r="L3" t="s">
        <v>29</v>
      </c>
      <c r="M3" t="s">
        <v>30</v>
      </c>
      <c r="N3" t="s">
        <v>31</v>
      </c>
      <c r="O3" t="s">
        <v>32</v>
      </c>
      <c r="Q3" s="1">
        <v>0.95</v>
      </c>
      <c r="R3" s="1"/>
      <c r="S3" s="1">
        <v>0.68</v>
      </c>
      <c r="T3" s="2"/>
    </row>
    <row r="4" spans="1:21" x14ac:dyDescent="0.25">
      <c r="A4">
        <v>756</v>
      </c>
      <c r="B4">
        <v>5</v>
      </c>
      <c r="D4">
        <v>-7.5239340160406204E-2</v>
      </c>
      <c r="E4">
        <v>-0.35172639274088602</v>
      </c>
      <c r="F4">
        <v>-2.2450535606914701</v>
      </c>
      <c r="G4">
        <v>1.87902953524716</v>
      </c>
      <c r="H4">
        <v>-20.482550472268301</v>
      </c>
      <c r="I4">
        <v>29.363621626703001</v>
      </c>
      <c r="J4">
        <v>-6.0191626679951202</v>
      </c>
      <c r="K4">
        <v>2.70611854610741</v>
      </c>
      <c r="L4">
        <v>0.208745605529081</v>
      </c>
      <c r="M4">
        <v>624</v>
      </c>
      <c r="N4">
        <v>0</v>
      </c>
      <c r="O4" t="s">
        <v>33</v>
      </c>
      <c r="Q4">
        <f>D4-(L4*1.96)</f>
        <v>-0.48438072699740498</v>
      </c>
      <c r="R4">
        <f>D4+(L4*1.96)</f>
        <v>0.33390204667659251</v>
      </c>
      <c r="S4">
        <f>D4-(L4)</f>
        <v>-0.28398494568948718</v>
      </c>
      <c r="T4">
        <f>D4+L4</f>
        <v>0.1335062653686748</v>
      </c>
      <c r="U4">
        <v>0</v>
      </c>
    </row>
    <row r="5" spans="1:21" x14ac:dyDescent="0.25">
      <c r="A5">
        <v>756</v>
      </c>
      <c r="B5">
        <v>5</v>
      </c>
      <c r="C5" t="s">
        <v>41</v>
      </c>
      <c r="D5">
        <v>-0.19948101567578999</v>
      </c>
      <c r="E5">
        <v>-0.463076833570499</v>
      </c>
      <c r="F5">
        <v>-2.4533423786464401</v>
      </c>
      <c r="G5">
        <v>1.8210639520852501</v>
      </c>
      <c r="H5">
        <v>-24.103643117373601</v>
      </c>
      <c r="I5">
        <v>28.082524215203598</v>
      </c>
      <c r="J5">
        <v>-6.5510280979952498</v>
      </c>
      <c r="K5">
        <v>2.9057262077589101</v>
      </c>
      <c r="L5">
        <v>0.225471023561018</v>
      </c>
      <c r="M5">
        <v>624</v>
      </c>
      <c r="N5">
        <v>0</v>
      </c>
      <c r="O5" t="s">
        <v>33</v>
      </c>
      <c r="Q5">
        <f t="shared" ref="Q5:Q43" si="0">D5-(L5*1.96)</f>
        <v>-0.64140422185538526</v>
      </c>
      <c r="R5">
        <f t="shared" ref="R5:R43" si="1">D5+(L5*1.96)</f>
        <v>0.2424421905038053</v>
      </c>
      <c r="S5">
        <f t="shared" ref="S5:S43" si="2">D5-(L5)</f>
        <v>-0.42495203923680802</v>
      </c>
      <c r="T5">
        <f t="shared" ref="T5:T43" si="3">D5+L5</f>
        <v>2.5990007885228011E-2</v>
      </c>
      <c r="U5">
        <v>0</v>
      </c>
    </row>
    <row r="6" spans="1:21" x14ac:dyDescent="0.25">
      <c r="A6">
        <v>756</v>
      </c>
      <c r="B6">
        <v>5</v>
      </c>
      <c r="D6">
        <v>-0.22205246476283599</v>
      </c>
      <c r="E6">
        <v>-0.69077941250024599</v>
      </c>
      <c r="F6">
        <v>-2.9072768059710401</v>
      </c>
      <c r="G6">
        <v>1.95910742738333</v>
      </c>
      <c r="H6">
        <v>-23.481720497687601</v>
      </c>
      <c r="I6">
        <v>30.6863144343268</v>
      </c>
      <c r="J6">
        <v>-7.0272185676556598</v>
      </c>
      <c r="K6">
        <v>3.06866289333307</v>
      </c>
      <c r="L6">
        <v>0.24103866308873301</v>
      </c>
      <c r="M6">
        <v>624</v>
      </c>
      <c r="N6">
        <v>0</v>
      </c>
      <c r="O6" t="s">
        <v>33</v>
      </c>
      <c r="Q6">
        <f t="shared" si="0"/>
        <v>-0.69448824441675272</v>
      </c>
      <c r="R6">
        <f t="shared" si="1"/>
        <v>0.25038331489108068</v>
      </c>
      <c r="S6">
        <f t="shared" si="2"/>
        <v>-0.46309112785156903</v>
      </c>
      <c r="T6">
        <f t="shared" si="3"/>
        <v>1.8986198325897014E-2</v>
      </c>
      <c r="U6">
        <v>0</v>
      </c>
    </row>
    <row r="7" spans="1:21" x14ac:dyDescent="0.25">
      <c r="A7">
        <v>756</v>
      </c>
      <c r="B7">
        <v>5</v>
      </c>
      <c r="D7">
        <v>-0.38350519830263402</v>
      </c>
      <c r="E7">
        <v>-0.59489177274000904</v>
      </c>
      <c r="F7">
        <v>-2.9932699937958098</v>
      </c>
      <c r="G7">
        <v>2.0216330639662998</v>
      </c>
      <c r="H7">
        <v>-24.755176131480301</v>
      </c>
      <c r="I7">
        <v>32.450868166042397</v>
      </c>
      <c r="J7">
        <v>-7.5322177247661699</v>
      </c>
      <c r="K7">
        <v>3.22634581400954</v>
      </c>
      <c r="L7">
        <v>0.25566010979727399</v>
      </c>
      <c r="M7">
        <v>624</v>
      </c>
      <c r="N7">
        <v>0</v>
      </c>
      <c r="O7" t="s">
        <v>33</v>
      </c>
      <c r="Q7">
        <f t="shared" si="0"/>
        <v>-0.88459901350529102</v>
      </c>
      <c r="R7">
        <f t="shared" si="1"/>
        <v>0.11758861690002304</v>
      </c>
      <c r="S7">
        <f t="shared" si="2"/>
        <v>-0.63916530809990801</v>
      </c>
      <c r="T7">
        <f t="shared" si="3"/>
        <v>-0.12784508850536003</v>
      </c>
      <c r="U7">
        <v>0</v>
      </c>
    </row>
    <row r="8" spans="1:21" x14ac:dyDescent="0.25">
      <c r="A8">
        <v>756</v>
      </c>
      <c r="B8">
        <v>5</v>
      </c>
      <c r="D8">
        <v>-0.363501944962065</v>
      </c>
      <c r="E8">
        <v>-0.42686924436853202</v>
      </c>
      <c r="F8">
        <v>-3.0225401120700299</v>
      </c>
      <c r="G8">
        <v>2.1116867660034799</v>
      </c>
      <c r="H8">
        <v>-25.292046242145901</v>
      </c>
      <c r="I8">
        <v>36.2529851066069</v>
      </c>
      <c r="J8">
        <v>-7.9779055094167397</v>
      </c>
      <c r="K8">
        <v>3.3607686385905802</v>
      </c>
      <c r="L8">
        <v>0.26948941793603798</v>
      </c>
      <c r="M8">
        <v>624</v>
      </c>
      <c r="N8">
        <v>0</v>
      </c>
      <c r="O8" t="s">
        <v>33</v>
      </c>
      <c r="Q8">
        <f t="shared" si="0"/>
        <v>-0.8917012041166994</v>
      </c>
      <c r="R8">
        <f t="shared" si="1"/>
        <v>0.16469731419256939</v>
      </c>
      <c r="S8">
        <f t="shared" si="2"/>
        <v>-0.63299136289810298</v>
      </c>
      <c r="T8">
        <f t="shared" si="3"/>
        <v>-9.4012527026027026E-2</v>
      </c>
      <c r="U8">
        <v>0</v>
      </c>
    </row>
    <row r="9" spans="1:21" x14ac:dyDescent="0.25">
      <c r="A9">
        <v>756</v>
      </c>
      <c r="B9">
        <v>5</v>
      </c>
      <c r="C9" t="s">
        <v>38</v>
      </c>
      <c r="D9">
        <v>-0.46251490236318799</v>
      </c>
      <c r="E9">
        <v>-0.59078854555899396</v>
      </c>
      <c r="F9">
        <v>-3.40048510458668</v>
      </c>
      <c r="G9">
        <v>2.2133836399734399</v>
      </c>
      <c r="H9">
        <v>-31.3656306279875</v>
      </c>
      <c r="I9">
        <v>42.271273309774003</v>
      </c>
      <c r="J9">
        <v>-8.4145449097835598</v>
      </c>
      <c r="K9">
        <v>3.51206331351342</v>
      </c>
      <c r="L9">
        <v>0.28264288601954102</v>
      </c>
      <c r="M9">
        <v>624</v>
      </c>
      <c r="N9">
        <v>0</v>
      </c>
      <c r="O9" t="s">
        <v>33</v>
      </c>
      <c r="Q9">
        <f t="shared" si="0"/>
        <v>-1.0164949589614884</v>
      </c>
      <c r="R9">
        <f t="shared" si="1"/>
        <v>9.1465154235112422E-2</v>
      </c>
      <c r="S9">
        <f t="shared" si="2"/>
        <v>-0.74515778838272895</v>
      </c>
      <c r="T9">
        <f t="shared" si="3"/>
        <v>-0.17987201634364697</v>
      </c>
      <c r="U9">
        <v>0</v>
      </c>
    </row>
    <row r="10" spans="1:21" x14ac:dyDescent="0.25">
      <c r="A10">
        <v>756</v>
      </c>
      <c r="B10">
        <v>5</v>
      </c>
      <c r="D10">
        <v>-0.60849445083353704</v>
      </c>
      <c r="E10">
        <v>-0.73028134165442904</v>
      </c>
      <c r="F10">
        <v>-3.54877836511392</v>
      </c>
      <c r="G10">
        <v>2.1602952624647802</v>
      </c>
      <c r="H10">
        <v>-26.8208369998923</v>
      </c>
      <c r="I10">
        <v>34.904433928998799</v>
      </c>
      <c r="J10">
        <v>-8.8110356639657894</v>
      </c>
      <c r="K10">
        <v>3.6428409421014898</v>
      </c>
      <c r="L10">
        <v>0.29521086642501099</v>
      </c>
      <c r="M10">
        <v>624</v>
      </c>
      <c r="N10">
        <v>1</v>
      </c>
      <c r="O10" t="s">
        <v>33</v>
      </c>
      <c r="Q10">
        <f t="shared" si="0"/>
        <v>-1.1871077490265587</v>
      </c>
      <c r="R10">
        <f t="shared" si="1"/>
        <v>-2.9881152640515496E-2</v>
      </c>
      <c r="S10">
        <f t="shared" si="2"/>
        <v>-0.90370531725854808</v>
      </c>
      <c r="T10">
        <f t="shared" si="3"/>
        <v>-0.31328358440852605</v>
      </c>
      <c r="U10">
        <v>0</v>
      </c>
    </row>
    <row r="11" spans="1:21" x14ac:dyDescent="0.25">
      <c r="A11">
        <v>756</v>
      </c>
      <c r="B11">
        <v>5</v>
      </c>
      <c r="D11">
        <v>-0.53779773037140499</v>
      </c>
      <c r="E11">
        <v>-0.83876654734706801</v>
      </c>
      <c r="F11">
        <v>-3.6465731400752501</v>
      </c>
      <c r="G11">
        <v>2.22024909596123</v>
      </c>
      <c r="H11">
        <v>-25.865426472875399</v>
      </c>
      <c r="I11">
        <v>34.925803540133202</v>
      </c>
      <c r="J11">
        <v>-9.1954484139146704</v>
      </c>
      <c r="K11">
        <v>3.7832671166363201</v>
      </c>
      <c r="L11">
        <v>0.30726521165494097</v>
      </c>
      <c r="M11">
        <v>624</v>
      </c>
      <c r="N11">
        <v>0</v>
      </c>
      <c r="O11" t="s">
        <v>33</v>
      </c>
      <c r="Q11">
        <f t="shared" si="0"/>
        <v>-1.1400375452150893</v>
      </c>
      <c r="R11">
        <f t="shared" si="1"/>
        <v>6.4442084472279282E-2</v>
      </c>
      <c r="S11">
        <f t="shared" si="2"/>
        <v>-0.84506294202634602</v>
      </c>
      <c r="T11">
        <f t="shared" si="3"/>
        <v>-0.23053251871646402</v>
      </c>
      <c r="U11">
        <v>0</v>
      </c>
    </row>
    <row r="12" spans="1:21" x14ac:dyDescent="0.25">
      <c r="A12">
        <v>756</v>
      </c>
      <c r="B12">
        <v>5</v>
      </c>
      <c r="D12">
        <v>-0.67193557223327405</v>
      </c>
      <c r="E12">
        <v>-0.93388086609833099</v>
      </c>
      <c r="F12">
        <v>-3.8776699064236202</v>
      </c>
      <c r="G12">
        <v>2.1265161636527798</v>
      </c>
      <c r="H12">
        <v>-26.907878839661802</v>
      </c>
      <c r="I12">
        <v>36.706689274324702</v>
      </c>
      <c r="J12">
        <v>-9.5631656388279591</v>
      </c>
      <c r="K12">
        <v>3.9111315132383999</v>
      </c>
      <c r="L12">
        <v>0.31886417944213602</v>
      </c>
      <c r="M12">
        <v>624</v>
      </c>
      <c r="N12">
        <v>1</v>
      </c>
      <c r="O12" t="s">
        <v>33</v>
      </c>
      <c r="Q12">
        <f t="shared" si="0"/>
        <v>-1.2969093639398608</v>
      </c>
      <c r="R12">
        <f t="shared" si="1"/>
        <v>-4.6961780526687424E-2</v>
      </c>
      <c r="S12">
        <f t="shared" si="2"/>
        <v>-0.99079975167541012</v>
      </c>
      <c r="T12">
        <f t="shared" si="3"/>
        <v>-0.35307139279113803</v>
      </c>
      <c r="U12">
        <v>0</v>
      </c>
    </row>
    <row r="13" spans="1:21" x14ac:dyDescent="0.25">
      <c r="A13">
        <v>756</v>
      </c>
      <c r="B13">
        <v>5</v>
      </c>
      <c r="D13">
        <v>-0.66402163749600895</v>
      </c>
      <c r="E13">
        <v>-0.99286018431101597</v>
      </c>
      <c r="F13">
        <v>-3.8007710772822501</v>
      </c>
      <c r="G13">
        <v>2.1930407565222798</v>
      </c>
      <c r="H13">
        <v>-26.516531196660399</v>
      </c>
      <c r="I13">
        <v>32.986941761497498</v>
      </c>
      <c r="J13">
        <v>-9.8926518864045203</v>
      </c>
      <c r="K13">
        <v>4.0167770065341797</v>
      </c>
      <c r="L13">
        <v>0.330055782511467</v>
      </c>
      <c r="M13">
        <v>624</v>
      </c>
      <c r="N13">
        <v>1</v>
      </c>
      <c r="O13" t="s">
        <v>33</v>
      </c>
      <c r="Q13">
        <f t="shared" si="0"/>
        <v>-1.3109309712184842</v>
      </c>
      <c r="R13">
        <f t="shared" si="1"/>
        <v>-1.7112303773533677E-2</v>
      </c>
      <c r="S13">
        <f t="shared" si="2"/>
        <v>-0.99407742000747601</v>
      </c>
      <c r="T13">
        <f t="shared" si="3"/>
        <v>-0.33396585498454195</v>
      </c>
      <c r="U13">
        <v>0</v>
      </c>
    </row>
    <row r="14" spans="1:21" x14ac:dyDescent="0.25">
      <c r="A14">
        <v>756</v>
      </c>
      <c r="B14">
        <v>5</v>
      </c>
      <c r="C14" t="s">
        <v>37</v>
      </c>
      <c r="D14">
        <v>-0.63765734518962602</v>
      </c>
      <c r="E14">
        <v>-0.94357899358509001</v>
      </c>
      <c r="F14">
        <v>-4.3613099959096697</v>
      </c>
      <c r="G14">
        <v>2.52997308411646</v>
      </c>
      <c r="H14">
        <v>-25.906264952658798</v>
      </c>
      <c r="I14">
        <v>35.960557880810903</v>
      </c>
      <c r="J14">
        <v>-10.2409673128289</v>
      </c>
      <c r="K14">
        <v>4.12578429399443</v>
      </c>
      <c r="L14">
        <v>0.34088014639636499</v>
      </c>
      <c r="M14">
        <v>624</v>
      </c>
      <c r="N14">
        <v>0</v>
      </c>
      <c r="O14" t="s">
        <v>33</v>
      </c>
      <c r="Q14">
        <f t="shared" si="0"/>
        <v>-1.3057824321265015</v>
      </c>
      <c r="R14">
        <f t="shared" si="1"/>
        <v>3.0467741747249311E-2</v>
      </c>
      <c r="S14">
        <f t="shared" si="2"/>
        <v>-0.97853749158599101</v>
      </c>
      <c r="T14">
        <f t="shared" si="3"/>
        <v>-0.29677719879326103</v>
      </c>
      <c r="U14">
        <v>0</v>
      </c>
    </row>
    <row r="15" spans="1:21" x14ac:dyDescent="0.25">
      <c r="A15">
        <v>756</v>
      </c>
      <c r="B15">
        <v>5</v>
      </c>
      <c r="D15">
        <v>-0.87521787195745404</v>
      </c>
      <c r="E15">
        <v>-1.1301346806685699</v>
      </c>
      <c r="F15">
        <v>-4.49818563949077</v>
      </c>
      <c r="G15">
        <v>2.1184369478916998</v>
      </c>
      <c r="H15">
        <v>-28.733172604922999</v>
      </c>
      <c r="I15">
        <v>36.735322874473198</v>
      </c>
      <c r="J15">
        <v>-10.558683226899699</v>
      </c>
      <c r="K15">
        <v>4.2211977384237001</v>
      </c>
      <c r="L15">
        <v>0.35137121231705598</v>
      </c>
      <c r="M15">
        <v>624</v>
      </c>
      <c r="N15">
        <v>1</v>
      </c>
      <c r="O15" t="s">
        <v>33</v>
      </c>
      <c r="Q15">
        <f t="shared" si="0"/>
        <v>-1.5639054480988839</v>
      </c>
      <c r="R15">
        <f t="shared" si="1"/>
        <v>-0.18653029581602432</v>
      </c>
      <c r="S15">
        <f t="shared" si="2"/>
        <v>-1.22658908427451</v>
      </c>
      <c r="T15">
        <f t="shared" si="3"/>
        <v>-0.52384665964039812</v>
      </c>
      <c r="U15">
        <v>0</v>
      </c>
    </row>
    <row r="16" spans="1:21" x14ac:dyDescent="0.25">
      <c r="A16">
        <v>756</v>
      </c>
      <c r="B16">
        <v>5</v>
      </c>
      <c r="D16">
        <v>-1.0800870077393701</v>
      </c>
      <c r="E16">
        <v>-1.2917661601137</v>
      </c>
      <c r="F16">
        <v>-4.8786036077393504</v>
      </c>
      <c r="G16">
        <v>1.8087068094655001</v>
      </c>
      <c r="H16">
        <v>-36.912918036329501</v>
      </c>
      <c r="I16">
        <v>36.752312098480601</v>
      </c>
      <c r="J16">
        <v>-10.884781012095599</v>
      </c>
      <c r="K16">
        <v>4.3186539462240798</v>
      </c>
      <c r="L16">
        <v>0.36155799463309901</v>
      </c>
      <c r="M16">
        <v>624</v>
      </c>
      <c r="N16">
        <v>1</v>
      </c>
      <c r="O16" t="s">
        <v>33</v>
      </c>
      <c r="Q16">
        <f t="shared" si="0"/>
        <v>-1.7887406772202441</v>
      </c>
      <c r="R16">
        <f t="shared" si="1"/>
        <v>-0.371433338258496</v>
      </c>
      <c r="S16">
        <f t="shared" si="2"/>
        <v>-1.4416450023724692</v>
      </c>
      <c r="T16">
        <f t="shared" si="3"/>
        <v>-0.71852901310627104</v>
      </c>
      <c r="U16">
        <v>0</v>
      </c>
    </row>
    <row r="17" spans="1:21" x14ac:dyDescent="0.25">
      <c r="A17">
        <v>756</v>
      </c>
      <c r="B17">
        <v>5</v>
      </c>
      <c r="D17">
        <v>-1.23159757695512</v>
      </c>
      <c r="E17">
        <v>-1.3909888914986199</v>
      </c>
      <c r="F17">
        <v>-5.1036447943628396</v>
      </c>
      <c r="G17">
        <v>1.8094335822671599</v>
      </c>
      <c r="H17">
        <v>-39.277532259818798</v>
      </c>
      <c r="I17">
        <v>33.5784524740818</v>
      </c>
      <c r="J17">
        <v>-11.1702077790668</v>
      </c>
      <c r="K17">
        <v>4.4031310519748699</v>
      </c>
      <c r="L17">
        <v>0.371465527500277</v>
      </c>
      <c r="M17">
        <v>624</v>
      </c>
      <c r="N17">
        <v>1</v>
      </c>
      <c r="O17" t="s">
        <v>33</v>
      </c>
      <c r="Q17">
        <f t="shared" si="0"/>
        <v>-1.9596700108556628</v>
      </c>
      <c r="R17">
        <f t="shared" si="1"/>
        <v>-0.50352514305457707</v>
      </c>
      <c r="S17">
        <f t="shared" si="2"/>
        <v>-1.6030631044553969</v>
      </c>
      <c r="T17">
        <f t="shared" si="3"/>
        <v>-0.86013204945484301</v>
      </c>
      <c r="U17">
        <v>0</v>
      </c>
    </row>
    <row r="18" spans="1:21" x14ac:dyDescent="0.25">
      <c r="A18">
        <v>756</v>
      </c>
      <c r="B18">
        <v>5</v>
      </c>
      <c r="D18">
        <v>-1.2863054814672801</v>
      </c>
      <c r="E18">
        <v>-1.4407481848992201</v>
      </c>
      <c r="F18">
        <v>-5.4018240808763798</v>
      </c>
      <c r="G18">
        <v>1.8558556934558801</v>
      </c>
      <c r="H18">
        <v>-39.776483738811898</v>
      </c>
      <c r="I18">
        <v>34.5387438655195</v>
      </c>
      <c r="J18">
        <v>-11.5182350969884</v>
      </c>
      <c r="K18">
        <v>4.4864398727693802</v>
      </c>
      <c r="L18">
        <v>0.38111558976117599</v>
      </c>
      <c r="M18">
        <v>624</v>
      </c>
      <c r="N18">
        <v>1</v>
      </c>
      <c r="O18" t="s">
        <v>33</v>
      </c>
      <c r="Q18">
        <f t="shared" si="0"/>
        <v>-2.033292037399185</v>
      </c>
      <c r="R18">
        <f t="shared" si="1"/>
        <v>-0.53931892553537519</v>
      </c>
      <c r="S18">
        <f t="shared" si="2"/>
        <v>-1.6674210712284561</v>
      </c>
      <c r="T18">
        <f t="shared" si="3"/>
        <v>-0.90518989170610409</v>
      </c>
      <c r="U18">
        <v>0</v>
      </c>
    </row>
    <row r="19" spans="1:21" x14ac:dyDescent="0.25">
      <c r="A19">
        <v>756</v>
      </c>
      <c r="B19">
        <v>5</v>
      </c>
      <c r="C19" t="s">
        <v>39</v>
      </c>
      <c r="D19">
        <v>-1.2573007511207801</v>
      </c>
      <c r="E19">
        <v>-1.2298802274567699</v>
      </c>
      <c r="F19">
        <v>-5.6026413939303303</v>
      </c>
      <c r="G19">
        <v>1.97474366283132</v>
      </c>
      <c r="H19">
        <v>-41.641775811934401</v>
      </c>
      <c r="I19">
        <v>34.173989334041799</v>
      </c>
      <c r="J19">
        <v>-11.8740134181235</v>
      </c>
      <c r="K19">
        <v>4.5792776602549301</v>
      </c>
      <c r="L19">
        <v>0.390527268442243</v>
      </c>
      <c r="M19">
        <v>624</v>
      </c>
      <c r="N19">
        <v>1</v>
      </c>
      <c r="O19" t="s">
        <v>33</v>
      </c>
      <c r="Q19">
        <f t="shared" si="0"/>
        <v>-2.0227341972675763</v>
      </c>
      <c r="R19">
        <f t="shared" si="1"/>
        <v>-0.49186730497398379</v>
      </c>
      <c r="S19">
        <f t="shared" si="2"/>
        <v>-1.647828019563023</v>
      </c>
      <c r="T19">
        <f t="shared" si="3"/>
        <v>-0.86677348267853715</v>
      </c>
      <c r="U19">
        <v>0</v>
      </c>
    </row>
    <row r="25" spans="1:21" x14ac:dyDescent="0.25">
      <c r="A25" t="s">
        <v>34</v>
      </c>
    </row>
    <row r="27" spans="1:21" x14ac:dyDescent="0.25">
      <c r="A27" t="s">
        <v>19</v>
      </c>
      <c r="B27" t="s">
        <v>20</v>
      </c>
      <c r="C27" t="s">
        <v>21</v>
      </c>
      <c r="D27" t="s">
        <v>22</v>
      </c>
      <c r="E27" t="s">
        <v>23</v>
      </c>
      <c r="F27" t="s">
        <v>24</v>
      </c>
      <c r="G27" t="s">
        <v>25</v>
      </c>
      <c r="H27" t="s">
        <v>26</v>
      </c>
      <c r="I27" t="s">
        <v>27</v>
      </c>
      <c r="J27" t="s">
        <v>28</v>
      </c>
      <c r="K27" t="s">
        <v>35</v>
      </c>
      <c r="L27" t="s">
        <v>29</v>
      </c>
      <c r="M27" t="s">
        <v>30</v>
      </c>
      <c r="N27" t="s">
        <v>31</v>
      </c>
      <c r="O27" t="s">
        <v>32</v>
      </c>
    </row>
    <row r="28" spans="1:21" x14ac:dyDescent="0.25">
      <c r="A28">
        <v>756</v>
      </c>
      <c r="B28">
        <v>5</v>
      </c>
      <c r="D28">
        <v>-8.9534396509747899E-2</v>
      </c>
      <c r="E28">
        <v>-9.6305125574063996E-2</v>
      </c>
      <c r="F28">
        <v>-1.9620230330272901</v>
      </c>
      <c r="G28">
        <v>2.4317222007711199</v>
      </c>
      <c r="H28">
        <v>-20.482550472268301</v>
      </c>
      <c r="I28">
        <v>11.509663737880199</v>
      </c>
      <c r="J28">
        <v>-5.3349025320752004</v>
      </c>
      <c r="K28" t="s">
        <v>36</v>
      </c>
      <c r="L28">
        <v>0.475444549177029</v>
      </c>
      <c r="M28">
        <v>94</v>
      </c>
      <c r="N28">
        <v>0</v>
      </c>
      <c r="O28" t="s">
        <v>33</v>
      </c>
      <c r="Q28">
        <f t="shared" si="0"/>
        <v>-1.0214057128967247</v>
      </c>
      <c r="R28">
        <f t="shared" si="1"/>
        <v>0.84233691987722892</v>
      </c>
      <c r="S28">
        <f t="shared" si="2"/>
        <v>-0.56497894568677687</v>
      </c>
      <c r="T28">
        <f t="shared" si="3"/>
        <v>0.38591015266728113</v>
      </c>
      <c r="U28">
        <v>0</v>
      </c>
    </row>
    <row r="29" spans="1:21" x14ac:dyDescent="0.25">
      <c r="A29">
        <v>756</v>
      </c>
      <c r="B29">
        <v>5</v>
      </c>
      <c r="C29" t="s">
        <v>41</v>
      </c>
      <c r="D29">
        <v>-0.38810602985401998</v>
      </c>
      <c r="E29">
        <v>-4.1558288478961598E-2</v>
      </c>
      <c r="F29">
        <v>-2.0911138428112599</v>
      </c>
      <c r="G29">
        <v>1.7536708092320401</v>
      </c>
      <c r="H29">
        <v>-24.103643117373601</v>
      </c>
      <c r="I29">
        <v>10.719398265318</v>
      </c>
      <c r="J29">
        <v>-5.8516162011228303</v>
      </c>
      <c r="K29" t="s">
        <v>36</v>
      </c>
      <c r="L29">
        <v>0.51353880661462403</v>
      </c>
      <c r="M29">
        <v>94</v>
      </c>
      <c r="N29">
        <v>0</v>
      </c>
      <c r="O29" t="s">
        <v>33</v>
      </c>
      <c r="Q29">
        <f t="shared" si="0"/>
        <v>-1.3946420908186832</v>
      </c>
      <c r="R29">
        <f t="shared" si="1"/>
        <v>0.61843003111064321</v>
      </c>
      <c r="S29">
        <f t="shared" si="2"/>
        <v>-0.90164483646864402</v>
      </c>
      <c r="T29">
        <f t="shared" si="3"/>
        <v>0.12543277676060405</v>
      </c>
      <c r="U29">
        <v>0</v>
      </c>
    </row>
    <row r="30" spans="1:21" x14ac:dyDescent="0.25">
      <c r="A30">
        <v>756</v>
      </c>
      <c r="B30">
        <v>5</v>
      </c>
      <c r="D30">
        <v>-0.43825335726260001</v>
      </c>
      <c r="E30">
        <v>-0.33708078151829901</v>
      </c>
      <c r="F30">
        <v>-2.4420497489759101</v>
      </c>
      <c r="G30">
        <v>2.1185430801375</v>
      </c>
      <c r="H30">
        <v>-23.481720497687601</v>
      </c>
      <c r="I30">
        <v>10.8978061271005</v>
      </c>
      <c r="J30">
        <v>-6.2927866891986897</v>
      </c>
      <c r="K30" t="s">
        <v>36</v>
      </c>
      <c r="L30">
        <v>0.54899607690419505</v>
      </c>
      <c r="M30">
        <v>94</v>
      </c>
      <c r="N30">
        <v>0</v>
      </c>
      <c r="O30" t="s">
        <v>33</v>
      </c>
      <c r="Q30">
        <f t="shared" si="0"/>
        <v>-1.5142856679948222</v>
      </c>
      <c r="R30">
        <f t="shared" si="1"/>
        <v>0.63777895346962232</v>
      </c>
      <c r="S30">
        <f t="shared" si="2"/>
        <v>-0.987249434166795</v>
      </c>
      <c r="T30">
        <f t="shared" si="3"/>
        <v>0.11074271964159504</v>
      </c>
      <c r="U30">
        <v>0</v>
      </c>
    </row>
    <row r="31" spans="1:21" x14ac:dyDescent="0.25">
      <c r="A31">
        <v>756</v>
      </c>
      <c r="B31">
        <v>5</v>
      </c>
      <c r="D31">
        <v>-0.423292958195019</v>
      </c>
      <c r="E31">
        <v>0.20195325908954201</v>
      </c>
      <c r="F31">
        <v>-2.3826324763544302</v>
      </c>
      <c r="G31">
        <v>2.4069834494718299</v>
      </c>
      <c r="H31">
        <v>-22.519135283611899</v>
      </c>
      <c r="I31">
        <v>12.750017218645899</v>
      </c>
      <c r="J31">
        <v>-6.8358285490331498</v>
      </c>
      <c r="K31" t="s">
        <v>36</v>
      </c>
      <c r="L31">
        <v>0.58229827323565198</v>
      </c>
      <c r="M31">
        <v>94</v>
      </c>
      <c r="N31">
        <v>0</v>
      </c>
      <c r="O31" t="s">
        <v>33</v>
      </c>
      <c r="Q31">
        <f t="shared" si="0"/>
        <v>-1.5645975737368967</v>
      </c>
      <c r="R31">
        <f t="shared" si="1"/>
        <v>0.71801165734685879</v>
      </c>
      <c r="S31">
        <f t="shared" si="2"/>
        <v>-1.005591231430671</v>
      </c>
      <c r="T31">
        <f t="shared" si="3"/>
        <v>0.15900531504063298</v>
      </c>
      <c r="U31">
        <v>0</v>
      </c>
    </row>
    <row r="32" spans="1:21" x14ac:dyDescent="0.25">
      <c r="A32">
        <v>756</v>
      </c>
      <c r="B32">
        <v>5</v>
      </c>
      <c r="D32">
        <v>-0.87524729532026302</v>
      </c>
      <c r="E32">
        <v>4.3012683092821101E-2</v>
      </c>
      <c r="F32">
        <v>-2.30526384232313</v>
      </c>
      <c r="G32">
        <v>2.0649896584654099</v>
      </c>
      <c r="H32">
        <v>-23.543037372149499</v>
      </c>
      <c r="I32">
        <v>12.3882177742283</v>
      </c>
      <c r="J32">
        <v>-7.1863159556966396</v>
      </c>
      <c r="K32" t="s">
        <v>36</v>
      </c>
      <c r="L32">
        <v>0.61379627366924205</v>
      </c>
      <c r="M32">
        <v>94</v>
      </c>
      <c r="N32">
        <v>0</v>
      </c>
      <c r="O32" t="s">
        <v>33</v>
      </c>
      <c r="Q32">
        <f t="shared" si="0"/>
        <v>-2.0782879917119774</v>
      </c>
      <c r="R32">
        <f t="shared" si="1"/>
        <v>0.32779340107145138</v>
      </c>
      <c r="S32">
        <f t="shared" si="2"/>
        <v>-1.489043568989505</v>
      </c>
      <c r="T32">
        <f t="shared" si="3"/>
        <v>-0.26145102165102097</v>
      </c>
      <c r="U32">
        <v>0</v>
      </c>
    </row>
    <row r="33" spans="1:21" x14ac:dyDescent="0.25">
      <c r="A33">
        <v>756</v>
      </c>
      <c r="B33">
        <v>5</v>
      </c>
      <c r="C33" t="s">
        <v>38</v>
      </c>
      <c r="D33">
        <v>-0.91137071056834595</v>
      </c>
      <c r="E33">
        <v>0.22971695986417701</v>
      </c>
      <c r="F33">
        <v>-2.7790518952414298</v>
      </c>
      <c r="G33">
        <v>1.9204829278908699</v>
      </c>
      <c r="H33">
        <v>-25.413396622615601</v>
      </c>
      <c r="I33">
        <v>12.941006854364501</v>
      </c>
      <c r="J33">
        <v>-7.6388937857270998</v>
      </c>
      <c r="K33" t="s">
        <v>36</v>
      </c>
      <c r="L33">
        <v>0.64375496279816902</v>
      </c>
      <c r="M33">
        <v>94</v>
      </c>
      <c r="N33">
        <v>0</v>
      </c>
      <c r="O33" t="s">
        <v>33</v>
      </c>
      <c r="Q33">
        <f t="shared" si="0"/>
        <v>-2.1731304376527572</v>
      </c>
      <c r="R33">
        <f t="shared" si="1"/>
        <v>0.35038901651606524</v>
      </c>
      <c r="S33">
        <f t="shared" si="2"/>
        <v>-1.5551256733665149</v>
      </c>
      <c r="T33">
        <f t="shared" si="3"/>
        <v>-0.26761574777017694</v>
      </c>
      <c r="U33">
        <v>0</v>
      </c>
    </row>
    <row r="34" spans="1:21" x14ac:dyDescent="0.25">
      <c r="A34">
        <v>756</v>
      </c>
      <c r="B34">
        <v>5</v>
      </c>
      <c r="D34">
        <v>-1.42360170327899</v>
      </c>
      <c r="E34">
        <v>3.7796010711693001E-4</v>
      </c>
      <c r="F34">
        <v>-3.5008783629885101</v>
      </c>
      <c r="G34">
        <v>1.6573243432612701</v>
      </c>
      <c r="H34">
        <v>-26.8208369998923</v>
      </c>
      <c r="I34">
        <v>13.586078740378801</v>
      </c>
      <c r="J34">
        <v>-8.0169441289540995</v>
      </c>
      <c r="K34" t="s">
        <v>36</v>
      </c>
      <c r="L34">
        <v>0.67238012960251603</v>
      </c>
      <c r="M34">
        <v>94</v>
      </c>
      <c r="N34">
        <v>1</v>
      </c>
      <c r="O34" t="s">
        <v>33</v>
      </c>
      <c r="Q34">
        <f t="shared" si="0"/>
        <v>-2.7414667572999214</v>
      </c>
      <c r="R34">
        <f t="shared" si="1"/>
        <v>-0.1057366492580587</v>
      </c>
      <c r="S34">
        <f t="shared" si="2"/>
        <v>-2.0959818328815061</v>
      </c>
      <c r="T34">
        <f t="shared" si="3"/>
        <v>-0.75122157367647402</v>
      </c>
      <c r="U34">
        <v>0</v>
      </c>
    </row>
    <row r="35" spans="1:21" x14ac:dyDescent="0.25">
      <c r="A35">
        <v>756</v>
      </c>
      <c r="B35">
        <v>5</v>
      </c>
      <c r="D35">
        <v>-1.39357457365478</v>
      </c>
      <c r="E35">
        <v>0.129674747969386</v>
      </c>
      <c r="F35">
        <v>-3.5038772875454098</v>
      </c>
      <c r="G35">
        <v>2.3022161398165499</v>
      </c>
      <c r="H35">
        <v>-25.865426472875399</v>
      </c>
      <c r="I35">
        <v>14.617100286348499</v>
      </c>
      <c r="J35">
        <v>-8.3745595552642609</v>
      </c>
      <c r="K35" t="s">
        <v>36</v>
      </c>
      <c r="L35">
        <v>0.69983542725509496</v>
      </c>
      <c r="M35">
        <v>94</v>
      </c>
      <c r="N35">
        <v>1</v>
      </c>
      <c r="O35" t="s">
        <v>33</v>
      </c>
      <c r="Q35">
        <f t="shared" si="0"/>
        <v>-2.7652520110747663</v>
      </c>
      <c r="R35">
        <f t="shared" si="1"/>
        <v>-2.1897136234793946E-2</v>
      </c>
      <c r="S35">
        <f t="shared" si="2"/>
        <v>-2.0934100009098748</v>
      </c>
      <c r="T35">
        <f t="shared" si="3"/>
        <v>-0.69373914639968504</v>
      </c>
      <c r="U35">
        <v>0</v>
      </c>
    </row>
    <row r="36" spans="1:21" x14ac:dyDescent="0.25">
      <c r="A36">
        <v>756</v>
      </c>
      <c r="B36">
        <v>5</v>
      </c>
      <c r="D36">
        <v>-1.7024954079075001</v>
      </c>
      <c r="E36">
        <v>6.0915393744781797E-2</v>
      </c>
      <c r="F36">
        <v>-3.9937396295674801</v>
      </c>
      <c r="G36">
        <v>2.5385582500893502</v>
      </c>
      <c r="H36">
        <v>-26.907878839661802</v>
      </c>
      <c r="I36">
        <v>13.322394816955001</v>
      </c>
      <c r="J36">
        <v>-8.8084946664592092</v>
      </c>
      <c r="K36" t="s">
        <v>36</v>
      </c>
      <c r="L36">
        <v>0.72625354511929596</v>
      </c>
      <c r="M36">
        <v>94</v>
      </c>
      <c r="N36">
        <v>1</v>
      </c>
      <c r="O36" t="s">
        <v>33</v>
      </c>
      <c r="Q36">
        <f t="shared" si="0"/>
        <v>-3.1259523563413198</v>
      </c>
      <c r="R36">
        <f t="shared" si="1"/>
        <v>-0.27903845947368011</v>
      </c>
      <c r="S36">
        <f t="shared" si="2"/>
        <v>-2.4287489530267958</v>
      </c>
      <c r="T36">
        <f t="shared" si="3"/>
        <v>-0.97624186278820413</v>
      </c>
      <c r="U36">
        <v>0</v>
      </c>
    </row>
    <row r="37" spans="1:21" x14ac:dyDescent="0.25">
      <c r="A37">
        <v>756</v>
      </c>
      <c r="B37">
        <v>5</v>
      </c>
      <c r="D37">
        <v>-1.7988072127319501</v>
      </c>
      <c r="E37">
        <v>5.2297613589868001E-2</v>
      </c>
      <c r="F37">
        <v>-3.7080846595338999</v>
      </c>
      <c r="G37">
        <v>2.0553584792028099</v>
      </c>
      <c r="H37">
        <v>-26.516531196660399</v>
      </c>
      <c r="I37">
        <v>14.8827067463964</v>
      </c>
      <c r="J37">
        <v>-9.0837785377511295</v>
      </c>
      <c r="K37" t="s">
        <v>36</v>
      </c>
      <c r="L37">
        <v>0.75174383825567204</v>
      </c>
      <c r="M37">
        <v>94</v>
      </c>
      <c r="N37">
        <v>1</v>
      </c>
      <c r="O37" t="s">
        <v>33</v>
      </c>
      <c r="Q37">
        <f t="shared" si="0"/>
        <v>-3.2722251357130672</v>
      </c>
      <c r="R37">
        <f t="shared" si="1"/>
        <v>-0.32538928975083303</v>
      </c>
      <c r="S37">
        <f t="shared" si="2"/>
        <v>-2.5505510509876221</v>
      </c>
      <c r="T37">
        <f t="shared" si="3"/>
        <v>-1.0470633744762781</v>
      </c>
      <c r="U37">
        <v>0</v>
      </c>
    </row>
    <row r="38" spans="1:21" x14ac:dyDescent="0.25">
      <c r="A38">
        <v>756</v>
      </c>
      <c r="B38">
        <v>5</v>
      </c>
      <c r="C38" t="s">
        <v>37</v>
      </c>
      <c r="D38">
        <v>-1.7695278768266101</v>
      </c>
      <c r="E38">
        <v>2.1935165266844199E-2</v>
      </c>
      <c r="F38">
        <v>-3.8578241310852399</v>
      </c>
      <c r="G38">
        <v>2.4160708395118702</v>
      </c>
      <c r="H38">
        <v>-25.906264952658798</v>
      </c>
      <c r="I38">
        <v>15.429797601017301</v>
      </c>
      <c r="J38">
        <v>-9.4395106346357398</v>
      </c>
      <c r="K38" t="s">
        <v>36</v>
      </c>
      <c r="L38">
        <v>0.77639769764753597</v>
      </c>
      <c r="M38">
        <v>94</v>
      </c>
      <c r="N38">
        <v>1</v>
      </c>
      <c r="O38" t="s">
        <v>33</v>
      </c>
      <c r="Q38">
        <f t="shared" si="0"/>
        <v>-3.2912673642157806</v>
      </c>
      <c r="R38">
        <f t="shared" si="1"/>
        <v>-0.24778838943743953</v>
      </c>
      <c r="S38">
        <f t="shared" si="2"/>
        <v>-2.545925574474146</v>
      </c>
      <c r="T38">
        <f t="shared" si="3"/>
        <v>-0.99313017917907409</v>
      </c>
      <c r="U38">
        <v>0</v>
      </c>
    </row>
    <row r="39" spans="1:21" x14ac:dyDescent="0.25">
      <c r="A39">
        <v>756</v>
      </c>
      <c r="B39">
        <v>5</v>
      </c>
      <c r="D39">
        <v>-2.05679318845965</v>
      </c>
      <c r="E39">
        <v>-0.14642580607580499</v>
      </c>
      <c r="F39">
        <v>-3.7193168864031798</v>
      </c>
      <c r="G39">
        <v>1.6694511125470199</v>
      </c>
      <c r="H39">
        <v>-25.8740872382098</v>
      </c>
      <c r="I39">
        <v>13.7754413908453</v>
      </c>
      <c r="J39">
        <v>-9.7494448439302506</v>
      </c>
      <c r="K39" t="s">
        <v>36</v>
      </c>
      <c r="L39">
        <v>0.80029242872178896</v>
      </c>
      <c r="M39">
        <v>94</v>
      </c>
      <c r="N39">
        <v>1</v>
      </c>
      <c r="O39" t="s">
        <v>33</v>
      </c>
      <c r="Q39">
        <f t="shared" si="0"/>
        <v>-3.6253663487543566</v>
      </c>
      <c r="R39">
        <f t="shared" si="1"/>
        <v>-0.48822002816494359</v>
      </c>
      <c r="S39">
        <f t="shared" si="2"/>
        <v>-2.8570856171814389</v>
      </c>
      <c r="T39">
        <f t="shared" si="3"/>
        <v>-1.256500759737861</v>
      </c>
      <c r="U39">
        <v>0</v>
      </c>
    </row>
    <row r="40" spans="1:21" x14ac:dyDescent="0.25">
      <c r="A40">
        <v>756</v>
      </c>
      <c r="B40">
        <v>5</v>
      </c>
      <c r="D40">
        <v>-2.2145105551008601</v>
      </c>
      <c r="E40">
        <v>-0.245991743500069</v>
      </c>
      <c r="F40">
        <v>-4.2132803442989903</v>
      </c>
      <c r="G40">
        <v>1.40521780789606</v>
      </c>
      <c r="H40">
        <v>-26.767372662790201</v>
      </c>
      <c r="I40">
        <v>17.401017207659802</v>
      </c>
      <c r="J40">
        <v>-10.1264412540094</v>
      </c>
      <c r="K40" t="s">
        <v>36</v>
      </c>
      <c r="L40">
        <v>0.82349411535629302</v>
      </c>
      <c r="M40">
        <v>94</v>
      </c>
      <c r="N40">
        <v>1</v>
      </c>
      <c r="O40" t="s">
        <v>33</v>
      </c>
      <c r="Q40">
        <f t="shared" si="0"/>
        <v>-3.8285590211991947</v>
      </c>
      <c r="R40">
        <f t="shared" si="1"/>
        <v>-0.60046208900252585</v>
      </c>
      <c r="S40">
        <f t="shared" si="2"/>
        <v>-3.0380046704571533</v>
      </c>
      <c r="T40">
        <f t="shared" si="3"/>
        <v>-1.391016439744567</v>
      </c>
      <c r="U40">
        <v>0</v>
      </c>
    </row>
    <row r="41" spans="1:21" x14ac:dyDescent="0.25">
      <c r="A41">
        <v>756</v>
      </c>
      <c r="B41">
        <v>5</v>
      </c>
      <c r="D41">
        <v>-2.7463694119080002</v>
      </c>
      <c r="E41">
        <v>-0.68845985462190595</v>
      </c>
      <c r="F41">
        <v>-4.8585803700506398</v>
      </c>
      <c r="G41">
        <v>0.75659572821671806</v>
      </c>
      <c r="H41">
        <v>-27.921098972723101</v>
      </c>
      <c r="I41">
        <v>15.370224692784801</v>
      </c>
      <c r="J41">
        <v>-10.468688492059499</v>
      </c>
      <c r="K41" t="s">
        <v>36</v>
      </c>
      <c r="L41">
        <v>0.84605977601081395</v>
      </c>
      <c r="M41">
        <v>94</v>
      </c>
      <c r="N41">
        <v>1</v>
      </c>
      <c r="O41" t="s">
        <v>33</v>
      </c>
      <c r="Q41">
        <f t="shared" si="0"/>
        <v>-4.4046465728891953</v>
      </c>
      <c r="R41">
        <f t="shared" si="1"/>
        <v>-1.0880922509268049</v>
      </c>
      <c r="S41">
        <f t="shared" si="2"/>
        <v>-3.5924291879188139</v>
      </c>
      <c r="T41">
        <f t="shared" si="3"/>
        <v>-1.9003096358971863</v>
      </c>
      <c r="U41">
        <v>0</v>
      </c>
    </row>
    <row r="42" spans="1:21" x14ac:dyDescent="0.25">
      <c r="A42">
        <v>756</v>
      </c>
      <c r="B42">
        <v>5</v>
      </c>
      <c r="D42">
        <v>-2.5636224338543601</v>
      </c>
      <c r="E42">
        <v>-0.54869341519437698</v>
      </c>
      <c r="F42">
        <v>-5.2290441624790196</v>
      </c>
      <c r="G42">
        <v>1.34157363968613</v>
      </c>
      <c r="H42">
        <v>-29.281118289792801</v>
      </c>
      <c r="I42">
        <v>20.282399848385801</v>
      </c>
      <c r="J42">
        <v>-10.7741460078357</v>
      </c>
      <c r="K42" t="s">
        <v>36</v>
      </c>
      <c r="L42">
        <v>0.86803901475710998</v>
      </c>
      <c r="M42">
        <v>94</v>
      </c>
      <c r="N42">
        <v>1</v>
      </c>
      <c r="O42" t="s">
        <v>33</v>
      </c>
      <c r="Q42">
        <f t="shared" si="0"/>
        <v>-4.2649789027782958</v>
      </c>
      <c r="R42">
        <f t="shared" si="1"/>
        <v>-0.86226596493042451</v>
      </c>
      <c r="S42">
        <f t="shared" si="2"/>
        <v>-3.4316614486114698</v>
      </c>
      <c r="T42">
        <f t="shared" si="3"/>
        <v>-1.6955834190972501</v>
      </c>
      <c r="U42">
        <v>0</v>
      </c>
    </row>
    <row r="43" spans="1:21" x14ac:dyDescent="0.25">
      <c r="A43">
        <v>756</v>
      </c>
      <c r="B43">
        <v>5</v>
      </c>
      <c r="C43" t="s">
        <v>39</v>
      </c>
      <c r="D43">
        <v>-2.6206114083976999</v>
      </c>
      <c r="E43">
        <v>-0.24765974719197201</v>
      </c>
      <c r="F43">
        <v>-5.8513709381711001</v>
      </c>
      <c r="G43">
        <v>1.69614716263112</v>
      </c>
      <c r="H43">
        <v>-28.666975855033598</v>
      </c>
      <c r="I43">
        <v>22.6080179560612</v>
      </c>
      <c r="J43">
        <v>-11.152037378910199</v>
      </c>
      <c r="K43" t="s">
        <v>36</v>
      </c>
      <c r="L43">
        <v>0.88947530471481795</v>
      </c>
      <c r="M43">
        <v>94</v>
      </c>
      <c r="N43">
        <v>1</v>
      </c>
      <c r="O43" t="s">
        <v>33</v>
      </c>
      <c r="Q43">
        <f t="shared" si="0"/>
        <v>-4.363983005638743</v>
      </c>
      <c r="R43">
        <f t="shared" si="1"/>
        <v>-0.87723981115665683</v>
      </c>
      <c r="S43">
        <f t="shared" si="2"/>
        <v>-3.5100867131125177</v>
      </c>
      <c r="T43">
        <f t="shared" si="3"/>
        <v>-1.7311361036828821</v>
      </c>
      <c r="U43">
        <v>0</v>
      </c>
    </row>
  </sheetData>
  <mergeCells count="2">
    <mergeCell ref="Q3:R3"/>
    <mergeCell ref="S3: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Charts</vt:lpstr>
      </vt:variant>
      <vt:variant>
        <vt:i4>6</vt:i4>
      </vt:variant>
    </vt:vector>
  </HeadingPairs>
  <TitlesOfParts>
    <vt:vector size="8" baseType="lpstr">
      <vt:lpstr>n_events</vt:lpstr>
      <vt:lpstr>Event study</vt:lpstr>
      <vt:lpstr>Chart1</vt:lpstr>
      <vt:lpstr>Chart2</vt:lpstr>
      <vt:lpstr>Chart3</vt:lpstr>
      <vt:lpstr>Chart4</vt:lpstr>
      <vt:lpstr>Chart6</vt:lpstr>
      <vt:lpstr>Chart5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ivan.delorenzo</dc:creator>
  <cp:lastModifiedBy>Ivan De Lorenzo Buratta</cp:lastModifiedBy>
  <dcterms:created xsi:type="dcterms:W3CDTF">2024-09-18T10:59:19Z</dcterms:created>
  <dcterms:modified xsi:type="dcterms:W3CDTF">2024-10-18T10:50:52Z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189b2de-3b3a-4e8b-b567-0ebdec9ba351_Enabled">
    <vt:lpwstr>true</vt:lpwstr>
  </property>
  <property fmtid="{D5CDD505-2E9C-101B-9397-08002B2CF9AE}" pid="3" name="MSIP_Label_5189b2de-3b3a-4e8b-b567-0ebdec9ba351_SetDate">
    <vt:lpwstr>2024-09-18T09:02:12Z</vt:lpwstr>
  </property>
  <property fmtid="{D5CDD505-2E9C-101B-9397-08002B2CF9AE}" pid="4" name="MSIP_Label_5189b2de-3b3a-4e8b-b567-0ebdec9ba351_Method">
    <vt:lpwstr>Standard</vt:lpwstr>
  </property>
  <property fmtid="{D5CDD505-2E9C-101B-9397-08002B2CF9AE}" pid="5" name="MSIP_Label_5189b2de-3b3a-4e8b-b567-0ebdec9ba351_Name">
    <vt:lpwstr>Internal Use Only</vt:lpwstr>
  </property>
  <property fmtid="{D5CDD505-2E9C-101B-9397-08002B2CF9AE}" pid="6" name="MSIP_Label_5189b2de-3b3a-4e8b-b567-0ebdec9ba351_SiteId">
    <vt:lpwstr>b0d66366-8b8a-4831-ae5f-9d15669342ce</vt:lpwstr>
  </property>
  <property fmtid="{D5CDD505-2E9C-101B-9397-08002B2CF9AE}" pid="7" name="MSIP_Label_5189b2de-3b3a-4e8b-b567-0ebdec9ba351_ActionId">
    <vt:lpwstr>f1c332f0-62b8-4d06-98b5-0a0a09ad6347</vt:lpwstr>
  </property>
  <property fmtid="{D5CDD505-2E9C-101B-9397-08002B2CF9AE}" pid="8" name="MSIP_Label_5189b2de-3b3a-4e8b-b567-0ebdec9ba351_ContentBits">
    <vt:lpwstr>2</vt:lpwstr>
  </property>
  <property fmtid="{D5CDD505-2E9C-101B-9397-08002B2CF9AE}" pid="9" name="{A44787D4-0540-4523-9961-78E4036D8C6D}">
    <vt:lpwstr>{D1F8F903-BDED-4419-9CB0-8D2EB9043532}</vt:lpwstr>
  </property>
</Properties>
</file>