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4DDD63A7-DF9A-41E7-9D3A-B916CAAFEBBF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<sst xmlns="http://schemas.openxmlformats.org/spreadsheetml/2006/main" count="10" uniqueCount="7">
  <si>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</si>
  <si>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</si>
  <si>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GPRC_TUR</t>
  </si>
  <si>
    <t>CWT_ID_corr</t>
  </si>
  <si>
    <t xml:space="preserve"> -GPRC_TUR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</si>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</sst>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-788.83732378250681</c:v>
                </c:pt>
                <c:pt idx="1">
                  <c:v>-576.57627690365734</c:v>
                </c:pt>
                <c:pt idx="2">
                  <c:v>-812.2472723587066</c:v>
                </c:pt>
                <c:pt idx="3">
                  <c:v>-583.61730962385798</c:v>
                </c:pt>
                <c:pt idx="4">
                  <c:v>-569.17892337817148</c:v>
                </c:pt>
                <c:pt idx="5">
                  <c:v>-532.2285800100575</c:v>
                </c:pt>
                <c:pt idx="6">
                  <c:v>-678.50868359336448</c:v>
                </c:pt>
                <c:pt idx="7">
                  <c:v>-481.91138083505189</c:v>
                </c:pt>
                <c:pt idx="8">
                  <c:v>-512.72181281465896</c:v>
                </c:pt>
                <c:pt idx="9">
                  <c:v>-3166.050285839407</c:v>
                </c:pt>
                <c:pt idx="10">
                  <c:v>-941.58692264445904</c:v>
                </c:pt>
                <c:pt idx="11">
                  <c:v>-828.81028248989128</c:v>
                </c:pt>
                <c:pt idx="12">
                  <c:v>-760.04673359409423</c:v>
                </c:pt>
                <c:pt idx="13">
                  <c:v>-1631.20952005548</c:v>
                </c:pt>
                <c:pt idx="14">
                  <c:v>-1352.742922033882</c:v>
                </c:pt>
                <c:pt idx="15">
                  <c:v>-532.09322023551351</c:v>
                </c:pt>
                <c:pt idx="16">
                  <c:v>-406.99375249887117</c:v>
                </c:pt>
                <c:pt idx="17">
                  <c:v>-591.71892924336601</c:v>
                </c:pt>
                <c:pt idx="18">
                  <c:v>-626.94892458934919</c:v>
                </c:pt>
                <c:pt idx="19">
                  <c:v>-454.46555688018492</c:v>
                </c:pt>
                <c:pt idx="20">
                  <c:v>-682.41532904897201</c:v>
                </c:pt>
                <c:pt idx="21">
                  <c:v>-681.99097186899246</c:v>
                </c:pt>
                <c:pt idx="22">
                  <c:v>-343.85054132681933</c:v>
                </c:pt>
                <c:pt idx="23">
                  <c:v>-482.59648889962853</c:v>
                </c:pt>
                <c:pt idx="24">
                  <c:v>-292.49928560701409</c:v>
                </c:pt>
                <c:pt idx="25">
                  <c:v>-365.60913687606109</c:v>
                </c:pt>
                <c:pt idx="26">
                  <c:v>-457.86187053545348</c:v>
                </c:pt>
                <c:pt idx="27">
                  <c:v>-574.46677197325027</c:v>
                </c:pt>
                <c:pt idx="28">
                  <c:v>-384.32315577275301</c:v>
                </c:pt>
                <c:pt idx="29">
                  <c:v>-280.66396511376081</c:v>
                </c:pt>
                <c:pt idx="30">
                  <c:v>-334.22924894712799</c:v>
                </c:pt>
                <c:pt idx="31">
                  <c:v>-494.00810335805079</c:v>
                </c:pt>
                <c:pt idx="32">
                  <c:v>-224.1500015311432</c:v>
                </c:pt>
                <c:pt idx="33">
                  <c:v>-255.66167234757469</c:v>
                </c:pt>
                <c:pt idx="34">
                  <c:v>-272.15905071524071</c:v>
                </c:pt>
                <c:pt idx="35">
                  <c:v>-227.1831581340702</c:v>
                </c:pt>
                <c:pt idx="36">
                  <c:v>-186.4035293721403</c:v>
                </c:pt>
                <c:pt idx="37">
                  <c:v>-354.36433549795038</c:v>
                </c:pt>
                <c:pt idx="38">
                  <c:v>-513.27739165397929</c:v>
                </c:pt>
                <c:pt idx="39">
                  <c:v>-393.33268468263259</c:v>
                </c:pt>
                <c:pt idx="40">
                  <c:v>-385.82075941152033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0-4AB1-8811-502020CE26E1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-291.05122847559238</c:v>
                </c:pt>
                <c:pt idx="1">
                  <c:v>-211.16130281289509</c:v>
                </c:pt>
                <c:pt idx="2">
                  <c:v>-284.56800345418208</c:v>
                </c:pt>
                <c:pt idx="3">
                  <c:v>-217.409334660767</c:v>
                </c:pt>
                <c:pt idx="4">
                  <c:v>-215.52383240079931</c:v>
                </c:pt>
                <c:pt idx="5">
                  <c:v>-198.5173982153392</c:v>
                </c:pt>
                <c:pt idx="6">
                  <c:v>-256.60239637453611</c:v>
                </c:pt>
                <c:pt idx="7">
                  <c:v>-174.13456081929769</c:v>
                </c:pt>
                <c:pt idx="8">
                  <c:v>-191.30211349557521</c:v>
                </c:pt>
                <c:pt idx="9">
                  <c:v>-1224.091379075079</c:v>
                </c:pt>
                <c:pt idx="10">
                  <c:v>-354.53980485250742</c:v>
                </c:pt>
                <c:pt idx="11">
                  <c:v>-307.75675613759643</c:v>
                </c:pt>
                <c:pt idx="12">
                  <c:v>-267.78717168141588</c:v>
                </c:pt>
                <c:pt idx="13">
                  <c:v>-551.09642662496185</c:v>
                </c:pt>
                <c:pt idx="14">
                  <c:v>-505.97234734513268</c:v>
                </c:pt>
                <c:pt idx="15">
                  <c:v>-183.32667025073749</c:v>
                </c:pt>
                <c:pt idx="16">
                  <c:v>-144.58815315443911</c:v>
                </c:pt>
                <c:pt idx="17">
                  <c:v>-223.293604100295</c:v>
                </c:pt>
                <c:pt idx="18">
                  <c:v>-233.23055386811299</c:v>
                </c:pt>
                <c:pt idx="19">
                  <c:v>-168.68043875249779</c:v>
                </c:pt>
                <c:pt idx="20">
                  <c:v>-254.55447700589971</c:v>
                </c:pt>
                <c:pt idx="21">
                  <c:v>-247.38540314159289</c:v>
                </c:pt>
                <c:pt idx="22">
                  <c:v>-118.50303148967549</c:v>
                </c:pt>
                <c:pt idx="23">
                  <c:v>-183.24889808735369</c:v>
                </c:pt>
                <c:pt idx="24">
                  <c:v>-103.51559499000859</c:v>
                </c:pt>
                <c:pt idx="25">
                  <c:v>-129.6635045353982</c:v>
                </c:pt>
                <c:pt idx="26">
                  <c:v>-160.93142570653731</c:v>
                </c:pt>
                <c:pt idx="27">
                  <c:v>-203.481989159292</c:v>
                </c:pt>
                <c:pt idx="28">
                  <c:v>-137.86157457893231</c:v>
                </c:pt>
                <c:pt idx="29">
                  <c:v>-101.1354219616519</c:v>
                </c:pt>
                <c:pt idx="30">
                  <c:v>-113.2224423351413</c:v>
                </c:pt>
                <c:pt idx="31">
                  <c:v>-156.05683210105619</c:v>
                </c:pt>
                <c:pt idx="32">
                  <c:v>-77.624292300884946</c:v>
                </c:pt>
                <c:pt idx="33">
                  <c:v>-94.224055052811877</c:v>
                </c:pt>
                <c:pt idx="34">
                  <c:v>-99.267656991150446</c:v>
                </c:pt>
                <c:pt idx="35">
                  <c:v>-82.788211204681701</c:v>
                </c:pt>
                <c:pt idx="36">
                  <c:v>-65.896394804453323</c:v>
                </c:pt>
                <c:pt idx="37">
                  <c:v>-128.46549205120101</c:v>
                </c:pt>
                <c:pt idx="38">
                  <c:v>-201.2187820867828</c:v>
                </c:pt>
                <c:pt idx="39">
                  <c:v>-147.59100617994099</c:v>
                </c:pt>
                <c:pt idx="40">
                  <c:v>-152.95688443952801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0-4AB1-8811-502020CE2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273728"/>
        <c:axId val="1665933184"/>
      </c:lineChart>
      <c:dateAx>
        <c:axId val="1688273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33184"/>
        <c:crosses val="autoZero"/>
        <c:auto val="1"/>
        <c:lblOffset val="100"/>
        <c:baseTimeUnit val="months"/>
      </c:dateAx>
      <c:valAx>
        <c:axId val="16659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TURKEY</a:t>
            </a:r>
            <a:r>
              <a:rPr lang="en-US" baseline="0"/>
              <a:t>    CORR=0.714288</a:t>
            </a:r>
            <a:endParaRPr lang="en-US"/>
          </a:p>
        </c:rich>
      </c:tx>
      <c:layout>
        <c:manualLayout>
          <c:xMode val="edge"/>
          <c:yMode val="edge"/>
          <c:x val="0.398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-0.41223970055580139</c:v>
                </c:pt>
                <c:pt idx="1">
                  <c:v>-0.30214333534240723</c:v>
                </c:pt>
                <c:pt idx="2">
                  <c:v>-0.2627846896648407</c:v>
                </c:pt>
                <c:pt idx="3">
                  <c:v>-0.25964725017547607</c:v>
                </c:pt>
                <c:pt idx="4">
                  <c:v>-0.31806069612503052</c:v>
                </c:pt>
                <c:pt idx="5">
                  <c:v>-0.28043833374977112</c:v>
                </c:pt>
                <c:pt idx="6">
                  <c:v>-0.33625343441963196</c:v>
                </c:pt>
                <c:pt idx="7">
                  <c:v>-0.15042915940284729</c:v>
                </c:pt>
                <c:pt idx="8">
                  <c:v>-0.2170158177614212</c:v>
                </c:pt>
                <c:pt idx="9">
                  <c:v>-1.1771630048751831</c:v>
                </c:pt>
                <c:pt idx="10">
                  <c:v>-0.2684859037399292</c:v>
                </c:pt>
                <c:pt idx="11">
                  <c:v>-0.30094164609909058</c:v>
                </c:pt>
                <c:pt idx="12">
                  <c:v>-0.53386276960372925</c:v>
                </c:pt>
                <c:pt idx="13">
                  <c:v>-0.45920643210411072</c:v>
                </c:pt>
                <c:pt idx="14">
                  <c:v>-0.32922866940498352</c:v>
                </c:pt>
                <c:pt idx="15">
                  <c:v>-6.0350030660629272E-2</c:v>
                </c:pt>
                <c:pt idx="16">
                  <c:v>-0.10814707726240158</c:v>
                </c:pt>
                <c:pt idx="17">
                  <c:v>-0.12458471953868866</c:v>
                </c:pt>
                <c:pt idx="18">
                  <c:v>-0.15752284228801727</c:v>
                </c:pt>
                <c:pt idx="19">
                  <c:v>-0.15583953261375427</c:v>
                </c:pt>
                <c:pt idx="20">
                  <c:v>-0.39881700277328491</c:v>
                </c:pt>
                <c:pt idx="21">
                  <c:v>-0.52727043628692627</c:v>
                </c:pt>
                <c:pt idx="22">
                  <c:v>-0.19272243976593018</c:v>
                </c:pt>
                <c:pt idx="23">
                  <c:v>-0.21718601882457733</c:v>
                </c:pt>
                <c:pt idx="24">
                  <c:v>-0.15986114740371704</c:v>
                </c:pt>
                <c:pt idx="25">
                  <c:v>-0.14009806513786316</c:v>
                </c:pt>
                <c:pt idx="26">
                  <c:v>-0.20818248391151428</c:v>
                </c:pt>
                <c:pt idx="27">
                  <c:v>-0.20247794687747955</c:v>
                </c:pt>
                <c:pt idx="28">
                  <c:v>-0.1456151008605957</c:v>
                </c:pt>
                <c:pt idx="29">
                  <c:v>-0.19276179373264313</c:v>
                </c:pt>
                <c:pt idx="30">
                  <c:v>-0.15785320103168488</c:v>
                </c:pt>
                <c:pt idx="31">
                  <c:v>-0.25502550601959229</c:v>
                </c:pt>
                <c:pt idx="32">
                  <c:v>-0.1300828605890274</c:v>
                </c:pt>
                <c:pt idx="33">
                  <c:v>-0.26264861226081848</c:v>
                </c:pt>
                <c:pt idx="34">
                  <c:v>-0.37055096030235291</c:v>
                </c:pt>
                <c:pt idx="35">
                  <c:v>-0.16745318472385406</c:v>
                </c:pt>
                <c:pt idx="36">
                  <c:v>-0.20028039813041687</c:v>
                </c:pt>
                <c:pt idx="37">
                  <c:v>-0.31749334931373596</c:v>
                </c:pt>
                <c:pt idx="38">
                  <c:v>-0.89659297466278076</c:v>
                </c:pt>
                <c:pt idx="39">
                  <c:v>-0.4480774998664856</c:v>
                </c:pt>
                <c:pt idx="40">
                  <c:v>-0.4036458432674408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6-4470-9936-294E7BA9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139104"/>
        <c:axId val="1903120928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-0.35614938374953259</c:v>
                </c:pt>
                <c:pt idx="1">
                  <c:v>6.5163706485777267E-2</c:v>
                </c:pt>
                <c:pt idx="2">
                  <c:v>-0.32195899558978175</c:v>
                </c:pt>
                <c:pt idx="3">
                  <c:v>3.2213649468204208E-2</c:v>
                </c:pt>
                <c:pt idx="4">
                  <c:v>4.2157165840301297E-2</c:v>
                </c:pt>
                <c:pt idx="5">
                  <c:v>0.13184348462361137</c:v>
                </c:pt>
                <c:pt idx="6">
                  <c:v>-0.17447761741479173</c:v>
                </c:pt>
                <c:pt idx="7">
                  <c:v>0.26043051843065329</c:v>
                </c:pt>
                <c:pt idx="8">
                  <c:v>0.16989451392417787</c:v>
                </c:pt>
                <c:pt idx="9">
                  <c:v>-5.2766950708540863</c:v>
                </c:pt>
                <c:pt idx="10">
                  <c:v>-0.69096717317812095</c:v>
                </c:pt>
                <c:pt idx="11">
                  <c:v>-0.44424882088014844</c:v>
                </c:pt>
                <c:pt idx="12">
                  <c:v>-0.23346242944259157</c:v>
                </c:pt>
                <c:pt idx="13">
                  <c:v>-1.7275418981917003</c:v>
                </c:pt>
                <c:pt idx="14">
                  <c:v>-1.4895724029430042</c:v>
                </c:pt>
                <c:pt idx="15">
                  <c:v>0.21195436830013273</c:v>
                </c:pt>
                <c:pt idx="16">
                  <c:v>0.4162485169501618</c:v>
                </c:pt>
                <c:pt idx="17">
                  <c:v>1.1819552867399544E-3</c:v>
                </c:pt>
                <c:pt idx="18">
                  <c:v>-5.1222236849681836E-2</c:v>
                </c:pt>
                <c:pt idx="19">
                  <c:v>0.28919375739254666</c:v>
                </c:pt>
                <c:pt idx="20">
                  <c:v>-0.16367756683775361</c:v>
                </c:pt>
                <c:pt idx="21">
                  <c:v>-0.12587023833116798</c:v>
                </c:pt>
                <c:pt idx="22">
                  <c:v>0.55381283593759467</c:v>
                </c:pt>
                <c:pt idx="23">
                  <c:v>0.21236451301134271</c:v>
                </c:pt>
                <c:pt idx="24">
                  <c:v>0.63285162754994562</c:v>
                </c:pt>
                <c:pt idx="25">
                  <c:v>0.49495618601112179</c:v>
                </c:pt>
                <c:pt idx="26">
                  <c:v>0.33005949366136567</c:v>
                </c:pt>
                <c:pt idx="27">
                  <c:v>0.10566187117234696</c:v>
                </c:pt>
                <c:pt idx="28">
                  <c:v>0.45172227140479471</c:v>
                </c:pt>
                <c:pt idx="29">
                  <c:v>0.64540387422627377</c:v>
                </c:pt>
                <c:pt idx="30">
                  <c:v>0.58166091961654443</c:v>
                </c:pt>
                <c:pt idx="31">
                  <c:v>0.35576649086446199</c:v>
                </c:pt>
                <c:pt idx="32">
                  <c:v>0.76939380925416345</c:v>
                </c:pt>
                <c:pt idx="33">
                  <c:v>0.68185214133829419</c:v>
                </c:pt>
                <c:pt idx="34">
                  <c:v>0.65525384999014735</c:v>
                </c:pt>
                <c:pt idx="35">
                  <c:v>0.74216100595592482</c:v>
                </c:pt>
                <c:pt idx="36">
                  <c:v>0.8312428683839268</c:v>
                </c:pt>
                <c:pt idx="37">
                  <c:v>0.50127410829820285</c:v>
                </c:pt>
                <c:pt idx="38">
                  <c:v>0.11759727801684831</c:v>
                </c:pt>
                <c:pt idx="39">
                  <c:v>0.4004124615626754</c:v>
                </c:pt>
                <c:pt idx="40">
                  <c:v>0.37211459130406455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6-4470-9936-294E7BA9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148704"/>
        <c:axId val="1903121760"/>
      </c:lineChart>
      <c:dateAx>
        <c:axId val="1676139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20928"/>
        <c:crosses val="autoZero"/>
        <c:auto val="1"/>
        <c:lblOffset val="100"/>
        <c:baseTimeUnit val="months"/>
      </c:dateAx>
      <c:valAx>
        <c:axId val="19031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39104"/>
        <c:crosses val="autoZero"/>
        <c:crossBetween val="between"/>
      </c:valAx>
      <c:valAx>
        <c:axId val="1903121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8704"/>
        <c:crosses val="max"/>
        <c:crossBetween val="between"/>
      </c:valAx>
      <c:dateAx>
        <c:axId val="167614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03121760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7494F-49F5-4DC7-AF71-64477BDA5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135730</xdr:colOff>
      <xdr:row>19</xdr:row>
      <xdr:rowOff>159543</xdr:rowOff>
    </xdr:from>
    <xdr:to>
      <xdr:col>13</xdr:col>
      <xdr:colOff>173830</xdr:colOff>
      <xdr:row>35</xdr:row>
      <xdr:rowOff>7143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E9654-6EF1-4F81-954C-BC1D83993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-291.05122847559238</v>
      </c>
    </row>
    <row r="3" spans="1:2" x14ac:dyDescent="0.45">
      <c r="A3" s="2">
        <v>43497</v>
      </c>
      <c r="B3">
        <v>-211.16130281289509</v>
      </c>
    </row>
    <row r="4" spans="1:2" x14ac:dyDescent="0.45">
      <c r="A4" s="2">
        <v>43525</v>
      </c>
      <c r="B4">
        <v>-284.56800345418208</v>
      </c>
    </row>
    <row r="5" spans="1:2" x14ac:dyDescent="0.45">
      <c r="A5" s="2">
        <v>43556</v>
      </c>
      <c r="B5">
        <v>-217.409334660767</v>
      </c>
    </row>
    <row r="6" spans="1:2" x14ac:dyDescent="0.45">
      <c r="A6" s="2">
        <v>43586</v>
      </c>
      <c r="B6">
        <v>-215.52383240079931</v>
      </c>
    </row>
    <row r="7" spans="1:2" x14ac:dyDescent="0.45">
      <c r="A7" s="2">
        <v>43617</v>
      </c>
      <c r="B7">
        <v>-198.5173982153392</v>
      </c>
    </row>
    <row r="8" spans="1:2" x14ac:dyDescent="0.45">
      <c r="A8" s="2">
        <v>43647</v>
      </c>
      <c r="B8">
        <v>-256.60239637453611</v>
      </c>
    </row>
    <row r="9" spans="1:2" x14ac:dyDescent="0.45">
      <c r="A9" s="2">
        <v>43678</v>
      </c>
      <c r="B9">
        <v>-174.13456081929769</v>
      </c>
    </row>
    <row r="10" spans="1:2" x14ac:dyDescent="0.45">
      <c r="A10" s="2">
        <v>43709</v>
      </c>
      <c r="B10">
        <v>-191.30211349557521</v>
      </c>
    </row>
    <row r="11" spans="1:2" x14ac:dyDescent="0.45">
      <c r="A11" s="2">
        <v>43739</v>
      </c>
      <c r="B11">
        <v>-1224.091379075079</v>
      </c>
    </row>
    <row r="12" spans="1:2" x14ac:dyDescent="0.45">
      <c r="A12" s="2">
        <v>43770</v>
      </c>
      <c r="B12">
        <v>-354.53980485250742</v>
      </c>
    </row>
    <row r="13" spans="1:2" x14ac:dyDescent="0.45">
      <c r="A13" s="2">
        <v>43800</v>
      </c>
      <c r="B13">
        <v>-307.75675613759643</v>
      </c>
    </row>
    <row r="14" spans="1:2" x14ac:dyDescent="0.45">
      <c r="A14" s="2">
        <v>43831</v>
      </c>
      <c r="B14">
        <v>-267.78717168141588</v>
      </c>
    </row>
    <row r="15" spans="1:2" x14ac:dyDescent="0.45">
      <c r="A15" s="2">
        <v>43862</v>
      </c>
      <c r="B15">
        <v>-551.09642662496185</v>
      </c>
    </row>
    <row r="16" spans="1:2" x14ac:dyDescent="0.45">
      <c r="A16" s="2">
        <v>43891</v>
      </c>
      <c r="B16">
        <v>-505.97234734513268</v>
      </c>
    </row>
    <row r="17" spans="1:2" x14ac:dyDescent="0.45">
      <c r="A17" s="2">
        <v>43922</v>
      </c>
      <c r="B17">
        <v>-183.32667025073749</v>
      </c>
    </row>
    <row r="18" spans="1:2" x14ac:dyDescent="0.45">
      <c r="A18" s="2">
        <v>43952</v>
      </c>
      <c r="B18">
        <v>-144.58815315443911</v>
      </c>
    </row>
    <row r="19" spans="1:2" x14ac:dyDescent="0.45">
      <c r="A19" s="2">
        <v>43983</v>
      </c>
      <c r="B19">
        <v>-223.293604100295</v>
      </c>
    </row>
    <row r="20" spans="1:2" x14ac:dyDescent="0.45">
      <c r="A20" s="2">
        <v>44013</v>
      </c>
      <c r="B20">
        <v>-233.23055386811299</v>
      </c>
    </row>
    <row r="21" spans="1:2" x14ac:dyDescent="0.45">
      <c r="A21" s="2">
        <v>44044</v>
      </c>
      <c r="B21">
        <v>-168.68043875249779</v>
      </c>
    </row>
    <row r="22" spans="1:2" x14ac:dyDescent="0.45">
      <c r="A22" s="2">
        <v>44075</v>
      </c>
      <c r="B22">
        <v>-254.55447700589971</v>
      </c>
    </row>
    <row r="23" spans="1:2" x14ac:dyDescent="0.45">
      <c r="A23" s="2">
        <v>44105</v>
      </c>
      <c r="B23">
        <v>-247.38540314159289</v>
      </c>
    </row>
    <row r="24" spans="1:2" x14ac:dyDescent="0.45">
      <c r="A24" s="2">
        <v>44136</v>
      </c>
      <c r="B24">
        <v>-118.50303148967549</v>
      </c>
    </row>
    <row r="25" spans="1:2" x14ac:dyDescent="0.45">
      <c r="A25" s="2">
        <v>44166</v>
      </c>
      <c r="B25">
        <v>-183.24889808735369</v>
      </c>
    </row>
    <row r="26" spans="1:2" x14ac:dyDescent="0.45">
      <c r="A26" s="2">
        <v>44197</v>
      </c>
      <c r="B26">
        <v>-103.51559499000859</v>
      </c>
    </row>
    <row r="27" spans="1:2" x14ac:dyDescent="0.45">
      <c r="A27" s="2">
        <v>44228</v>
      </c>
      <c r="B27">
        <v>-129.6635045353982</v>
      </c>
    </row>
    <row r="28" spans="1:2" x14ac:dyDescent="0.45">
      <c r="A28" s="2">
        <v>44256</v>
      </c>
      <c r="B28">
        <v>-160.93142570653731</v>
      </c>
    </row>
    <row r="29" spans="1:2" x14ac:dyDescent="0.45">
      <c r="A29" s="2">
        <v>44287</v>
      </c>
      <c r="B29">
        <v>-203.481989159292</v>
      </c>
    </row>
    <row r="30" spans="1:2" x14ac:dyDescent="0.45">
      <c r="A30" s="2">
        <v>44317</v>
      </c>
      <c r="B30">
        <v>-137.86157457893231</v>
      </c>
    </row>
    <row r="31" spans="1:2" x14ac:dyDescent="0.45">
      <c r="A31" s="2">
        <v>44348</v>
      </c>
      <c r="B31">
        <v>-101.1354219616519</v>
      </c>
    </row>
    <row r="32" spans="1:2" x14ac:dyDescent="0.45">
      <c r="A32" s="2">
        <v>44378</v>
      </c>
      <c r="B32">
        <v>-113.2224423351413</v>
      </c>
    </row>
    <row r="33" spans="1:2" x14ac:dyDescent="0.45">
      <c r="A33" s="2">
        <v>44409</v>
      </c>
      <c r="B33">
        <v>-156.05683210105619</v>
      </c>
    </row>
    <row r="34" spans="1:2" x14ac:dyDescent="0.45">
      <c r="A34" s="2">
        <v>44440</v>
      </c>
      <c r="B34">
        <v>-77.624292300884946</v>
      </c>
    </row>
    <row r="35" spans="1:2" x14ac:dyDescent="0.45">
      <c r="A35" s="2">
        <v>44470</v>
      </c>
      <c r="B35">
        <v>-94.224055052811877</v>
      </c>
    </row>
    <row r="36" spans="1:2" x14ac:dyDescent="0.45">
      <c r="A36" s="2">
        <v>44501</v>
      </c>
      <c r="B36">
        <v>-99.267656991150446</v>
      </c>
    </row>
    <row r="37" spans="1:2" x14ac:dyDescent="0.45">
      <c r="A37" s="2">
        <v>44531</v>
      </c>
      <c r="B37">
        <v>-82.788211204681701</v>
      </c>
    </row>
    <row r="38" spans="1:2" x14ac:dyDescent="0.45">
      <c r="A38" s="2">
        <v>44562</v>
      </c>
      <c r="B38">
        <v>-65.896394804453323</v>
      </c>
    </row>
    <row r="39" spans="1:2" x14ac:dyDescent="0.45">
      <c r="A39" s="2">
        <v>44593</v>
      </c>
      <c r="B39">
        <v>-128.46549205120101</v>
      </c>
    </row>
    <row r="40" spans="1:2" x14ac:dyDescent="0.45">
      <c r="A40" s="2">
        <v>44621</v>
      </c>
      <c r="B40">
        <v>-201.2187820867828</v>
      </c>
    </row>
    <row r="41" spans="1:2" x14ac:dyDescent="0.45">
      <c r="A41" s="2">
        <v>44652</v>
      </c>
      <c r="B41">
        <v>-147.59100617994099</v>
      </c>
    </row>
    <row r="42" spans="1:2" x14ac:dyDescent="0.45">
      <c r="A42" s="2">
        <v>44682</v>
      </c>
      <c r="B42">
        <v>-152.95688443952801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280A-7596-4D51-B9F2-BDE764AF2772}">
  <dimension ref="A1:D42"/>
  <sheetViews>
    <sheetView workbookViewId="0">
      <selection activeCell="B1" sqref="B1:D1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0.41223970055580139</v>
      </c>
      <c r="C2">
        <v>-788.83732378250681</v>
      </c>
      <c r="D2">
        <v>-291.05122847559238</v>
      </c>
    </row>
    <row r="3" spans="1:4" x14ac:dyDescent="0.45">
      <c r="A3" s="2">
        <v>43497</v>
      </c>
      <c r="B3" s="3">
        <v>0.30214333534240723</v>
      </c>
      <c r="C3">
        <v>-576.57627690365734</v>
      </c>
      <c r="D3">
        <v>-211.16130281289509</v>
      </c>
    </row>
    <row r="4" spans="1:4" x14ac:dyDescent="0.45">
      <c r="A4" s="2">
        <v>43525</v>
      </c>
      <c r="B4" s="3">
        <v>0.2627846896648407</v>
      </c>
      <c r="C4">
        <v>-812.2472723587066</v>
      </c>
      <c r="D4">
        <v>-284.56800345418208</v>
      </c>
    </row>
    <row r="5" spans="1:4" x14ac:dyDescent="0.45">
      <c r="A5" s="2">
        <v>43556</v>
      </c>
      <c r="B5" s="3">
        <v>0.25964725017547607</v>
      </c>
      <c r="C5">
        <v>-583.61730962385798</v>
      </c>
      <c r="D5">
        <v>-217.409334660767</v>
      </c>
    </row>
    <row r="6" spans="1:4" x14ac:dyDescent="0.45">
      <c r="A6" s="2">
        <v>43586</v>
      </c>
      <c r="B6" s="3">
        <v>0.31806069612503052</v>
      </c>
      <c r="C6">
        <v>-569.17892337817148</v>
      </c>
      <c r="D6">
        <v>-215.52383240079931</v>
      </c>
    </row>
    <row r="7" spans="1:4" x14ac:dyDescent="0.45">
      <c r="A7" s="2">
        <v>43617</v>
      </c>
      <c r="B7" s="3">
        <v>0.28043833374977112</v>
      </c>
      <c r="C7">
        <v>-532.2285800100575</v>
      </c>
      <c r="D7">
        <v>-198.5173982153392</v>
      </c>
    </row>
    <row r="8" spans="1:4" x14ac:dyDescent="0.45">
      <c r="A8" s="2">
        <v>43647</v>
      </c>
      <c r="B8" s="3">
        <v>0.33625343441963196</v>
      </c>
      <c r="C8">
        <v>-678.50868359336448</v>
      </c>
      <c r="D8">
        <v>-256.60239637453611</v>
      </c>
    </row>
    <row r="9" spans="1:4" x14ac:dyDescent="0.45">
      <c r="A9" s="2">
        <v>43678</v>
      </c>
      <c r="B9" s="3">
        <v>0.15042915940284729</v>
      </c>
      <c r="C9">
        <v>-481.91138083505189</v>
      </c>
      <c r="D9">
        <v>-174.13456081929769</v>
      </c>
    </row>
    <row r="10" spans="1:4" x14ac:dyDescent="0.45">
      <c r="A10" s="2">
        <v>43709</v>
      </c>
      <c r="B10" s="3">
        <v>0.2170158177614212</v>
      </c>
      <c r="C10">
        <v>-512.72181281465896</v>
      </c>
      <c r="D10">
        <v>-191.30211349557521</v>
      </c>
    </row>
    <row r="11" spans="1:4" x14ac:dyDescent="0.45">
      <c r="A11" s="2">
        <v>43739</v>
      </c>
      <c r="B11" s="3">
        <v>1.1771630048751831</v>
      </c>
      <c r="C11">
        <v>-3166.050285839407</v>
      </c>
      <c r="D11">
        <v>-1224.091379075079</v>
      </c>
    </row>
    <row r="12" spans="1:4" x14ac:dyDescent="0.45">
      <c r="A12" s="2">
        <v>43770</v>
      </c>
      <c r="B12" s="3">
        <v>0.2684859037399292</v>
      </c>
      <c r="C12">
        <v>-941.58692264445904</v>
      </c>
      <c r="D12">
        <v>-354.53980485250742</v>
      </c>
    </row>
    <row r="13" spans="1:4" x14ac:dyDescent="0.45">
      <c r="A13" s="2">
        <v>43800</v>
      </c>
      <c r="B13" s="3">
        <v>0.30094164609909058</v>
      </c>
      <c r="C13">
        <v>-828.81028248989128</v>
      </c>
      <c r="D13">
        <v>-307.75675613759643</v>
      </c>
    </row>
    <row r="14" spans="1:4" x14ac:dyDescent="0.45">
      <c r="A14" s="2">
        <v>43831</v>
      </c>
      <c r="B14" s="3">
        <v>0.53386276960372925</v>
      </c>
      <c r="C14">
        <v>-760.04673359409423</v>
      </c>
      <c r="D14">
        <v>-267.78717168141588</v>
      </c>
    </row>
    <row r="15" spans="1:4" x14ac:dyDescent="0.45">
      <c r="A15" s="2">
        <v>43862</v>
      </c>
      <c r="B15" s="3">
        <v>0.45920643210411072</v>
      </c>
      <c r="C15">
        <v>-1631.20952005548</v>
      </c>
      <c r="D15">
        <v>-551.09642662496185</v>
      </c>
    </row>
    <row r="16" spans="1:4" x14ac:dyDescent="0.45">
      <c r="A16" s="2">
        <v>43891</v>
      </c>
      <c r="B16" s="3">
        <v>0.32922866940498352</v>
      </c>
      <c r="C16">
        <v>-1352.742922033882</v>
      </c>
      <c r="D16">
        <v>-505.97234734513268</v>
      </c>
    </row>
    <row r="17" spans="1:4" x14ac:dyDescent="0.45">
      <c r="A17" s="2">
        <v>43922</v>
      </c>
      <c r="B17" s="3">
        <v>6.0350030660629272E-2</v>
      </c>
      <c r="C17">
        <v>-532.09322023551351</v>
      </c>
      <c r="D17">
        <v>-183.32667025073749</v>
      </c>
    </row>
    <row r="18" spans="1:4" x14ac:dyDescent="0.45">
      <c r="A18" s="2">
        <v>43952</v>
      </c>
      <c r="B18" s="3">
        <v>0.10814707726240158</v>
      </c>
      <c r="C18">
        <v>-406.99375249887117</v>
      </c>
      <c r="D18">
        <v>-144.58815315443911</v>
      </c>
    </row>
    <row r="19" spans="1:4" x14ac:dyDescent="0.45">
      <c r="A19" s="2">
        <v>43983</v>
      </c>
      <c r="B19" s="3">
        <v>0.12458471953868866</v>
      </c>
      <c r="C19">
        <v>-591.71892924336601</v>
      </c>
      <c r="D19">
        <v>-223.293604100295</v>
      </c>
    </row>
    <row r="20" spans="1:4" x14ac:dyDescent="0.45">
      <c r="A20" s="2">
        <v>44013</v>
      </c>
      <c r="B20" s="3">
        <v>0.15752284228801727</v>
      </c>
      <c r="C20">
        <v>-626.94892458934919</v>
      </c>
      <c r="D20">
        <v>-233.23055386811299</v>
      </c>
    </row>
    <row r="21" spans="1:4" x14ac:dyDescent="0.45">
      <c r="A21" s="2">
        <v>44044</v>
      </c>
      <c r="B21" s="3">
        <v>0.15583953261375427</v>
      </c>
      <c r="C21">
        <v>-454.46555688018492</v>
      </c>
      <c r="D21">
        <v>-168.68043875249779</v>
      </c>
    </row>
    <row r="22" spans="1:4" x14ac:dyDescent="0.45">
      <c r="A22" s="2">
        <v>44075</v>
      </c>
      <c r="B22" s="3">
        <v>0.39881700277328491</v>
      </c>
      <c r="C22">
        <v>-682.41532904897201</v>
      </c>
      <c r="D22">
        <v>-254.55447700589971</v>
      </c>
    </row>
    <row r="23" spans="1:4" x14ac:dyDescent="0.45">
      <c r="A23" s="2">
        <v>44105</v>
      </c>
      <c r="B23" s="3">
        <v>0.52727043628692627</v>
      </c>
      <c r="C23">
        <v>-681.99097186899246</v>
      </c>
      <c r="D23">
        <v>-247.38540314159289</v>
      </c>
    </row>
    <row r="24" spans="1:4" x14ac:dyDescent="0.45">
      <c r="A24" s="2">
        <v>44136</v>
      </c>
      <c r="B24" s="3">
        <v>0.19272243976593018</v>
      </c>
      <c r="C24">
        <v>-343.85054132681933</v>
      </c>
      <c r="D24">
        <v>-118.50303148967549</v>
      </c>
    </row>
    <row r="25" spans="1:4" x14ac:dyDescent="0.45">
      <c r="A25" s="2">
        <v>44166</v>
      </c>
      <c r="B25" s="3">
        <v>0.21718601882457733</v>
      </c>
      <c r="C25">
        <v>-482.59648889962853</v>
      </c>
      <c r="D25">
        <v>-183.24889808735369</v>
      </c>
    </row>
    <row r="26" spans="1:4" x14ac:dyDescent="0.45">
      <c r="A26" s="2">
        <v>44197</v>
      </c>
      <c r="B26" s="3">
        <v>0.15986114740371704</v>
      </c>
      <c r="C26">
        <v>-292.49928560701409</v>
      </c>
      <c r="D26">
        <v>-103.51559499000859</v>
      </c>
    </row>
    <row r="27" spans="1:4" x14ac:dyDescent="0.45">
      <c r="A27" s="2">
        <v>44228</v>
      </c>
      <c r="B27" s="3">
        <v>0.14009806513786316</v>
      </c>
      <c r="C27">
        <v>-365.60913687606109</v>
      </c>
      <c r="D27">
        <v>-129.6635045353982</v>
      </c>
    </row>
    <row r="28" spans="1:4" x14ac:dyDescent="0.45">
      <c r="A28" s="2">
        <v>44256</v>
      </c>
      <c r="B28" s="3">
        <v>0.20818248391151428</v>
      </c>
      <c r="C28">
        <v>-457.86187053545348</v>
      </c>
      <c r="D28">
        <v>-160.93142570653731</v>
      </c>
    </row>
    <row r="29" spans="1:4" x14ac:dyDescent="0.45">
      <c r="A29" s="2">
        <v>44287</v>
      </c>
      <c r="B29" s="3">
        <v>0.20247794687747955</v>
      </c>
      <c r="C29">
        <v>-574.46677197325027</v>
      </c>
      <c r="D29">
        <v>-203.481989159292</v>
      </c>
    </row>
    <row r="30" spans="1:4" x14ac:dyDescent="0.45">
      <c r="A30" s="2">
        <v>44317</v>
      </c>
      <c r="B30" s="3">
        <v>0.1456151008605957</v>
      </c>
      <c r="C30">
        <v>-384.32315577275301</v>
      </c>
      <c r="D30">
        <v>-137.86157457893231</v>
      </c>
    </row>
    <row r="31" spans="1:4" x14ac:dyDescent="0.45">
      <c r="A31" s="2">
        <v>44348</v>
      </c>
      <c r="B31" s="3">
        <v>0.19276179373264313</v>
      </c>
      <c r="C31">
        <v>-280.66396511376081</v>
      </c>
      <c r="D31">
        <v>-101.1354219616519</v>
      </c>
    </row>
    <row r="32" spans="1:4" x14ac:dyDescent="0.45">
      <c r="A32" s="2">
        <v>44378</v>
      </c>
      <c r="B32" s="3">
        <v>0.15785320103168488</v>
      </c>
      <c r="C32">
        <v>-334.22924894712799</v>
      </c>
      <c r="D32">
        <v>-113.2224423351413</v>
      </c>
    </row>
    <row r="33" spans="1:4" x14ac:dyDescent="0.45">
      <c r="A33" s="2">
        <v>44409</v>
      </c>
      <c r="B33" s="3">
        <v>0.25502550601959229</v>
      </c>
      <c r="C33">
        <v>-494.00810335805079</v>
      </c>
      <c r="D33">
        <v>-156.05683210105619</v>
      </c>
    </row>
    <row r="34" spans="1:4" x14ac:dyDescent="0.45">
      <c r="A34" s="2">
        <v>44440</v>
      </c>
      <c r="B34" s="3">
        <v>0.1300828605890274</v>
      </c>
      <c r="C34">
        <v>-224.1500015311432</v>
      </c>
      <c r="D34">
        <v>-77.624292300884946</v>
      </c>
    </row>
    <row r="35" spans="1:4" x14ac:dyDescent="0.45">
      <c r="A35" s="2">
        <v>44470</v>
      </c>
      <c r="B35" s="3">
        <v>0.26264861226081848</v>
      </c>
      <c r="C35">
        <v>-255.66167234757469</v>
      </c>
      <c r="D35">
        <v>-94.224055052811877</v>
      </c>
    </row>
    <row r="36" spans="1:4" x14ac:dyDescent="0.45">
      <c r="A36" s="2">
        <v>44501</v>
      </c>
      <c r="B36" s="3">
        <v>0.37055096030235291</v>
      </c>
      <c r="C36">
        <v>-272.15905071524071</v>
      </c>
      <c r="D36">
        <v>-99.267656991150446</v>
      </c>
    </row>
    <row r="37" spans="1:4" x14ac:dyDescent="0.45">
      <c r="A37" s="2">
        <v>44531</v>
      </c>
      <c r="B37" s="3">
        <v>0.16745318472385406</v>
      </c>
      <c r="C37">
        <v>-227.1831581340702</v>
      </c>
      <c r="D37">
        <v>-82.788211204681701</v>
      </c>
    </row>
    <row r="38" spans="1:4" x14ac:dyDescent="0.45">
      <c r="A38" s="2">
        <v>44562</v>
      </c>
      <c r="B38" s="3">
        <v>0.20028039813041687</v>
      </c>
      <c r="C38">
        <v>-186.4035293721403</v>
      </c>
      <c r="D38">
        <v>-65.896394804453323</v>
      </c>
    </row>
    <row r="39" spans="1:4" x14ac:dyDescent="0.45">
      <c r="A39" s="2">
        <v>44593</v>
      </c>
      <c r="B39" s="3">
        <v>0.31749334931373596</v>
      </c>
      <c r="C39">
        <v>-354.36433549795038</v>
      </c>
      <c r="D39">
        <v>-128.46549205120101</v>
      </c>
    </row>
    <row r="40" spans="1:4" x14ac:dyDescent="0.45">
      <c r="A40" s="2">
        <v>44621</v>
      </c>
      <c r="B40" s="3">
        <v>0.89659297466278076</v>
      </c>
      <c r="C40">
        <v>-513.27739165397929</v>
      </c>
      <c r="D40">
        <v>-201.2187820867828</v>
      </c>
    </row>
    <row r="41" spans="1:4" x14ac:dyDescent="0.45">
      <c r="A41" s="2">
        <v>44652</v>
      </c>
      <c r="B41" s="3">
        <v>0.4480774998664856</v>
      </c>
      <c r="C41">
        <v>-393.33268468263259</v>
      </c>
      <c r="D41">
        <v>-147.59100617994099</v>
      </c>
    </row>
    <row r="42" spans="1:4" x14ac:dyDescent="0.45">
      <c r="A42" s="2">
        <v>44682</v>
      </c>
      <c r="B42" s="3">
        <v>0.4036458432674408</v>
      </c>
      <c r="C42">
        <v>-385.82075941152033</v>
      </c>
      <c r="D42">
        <v>-152.95688443952801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11A6-7119-453A-8691-FD445A9CD8C3}">
  <dimension ref="A1:F42"/>
  <sheetViews>
    <sheetView tabSelected="1" topLeftCell="A7" workbookViewId="0">
      <selection activeCell="D1" activeCellId="1" sqref="A1:B42 D1:D42"/>
    </sheetView>
  </sheetViews>
  <sheetFormatPr defaultRowHeight="14.25" x14ac:dyDescent="0.45"/>
  <sheetData>
    <row r="1" spans="1:6" x14ac:dyDescent="0.45">
      <c r="A1" t="s">
        <v>1</v>
      </c>
      <c r="B1" t="s">
        <v>4</v>
      </c>
      <c r="C1" s="1" t="s">
        <v>5</v>
      </c>
      <c r="D1" s="1" t="s">
        <v>6</v>
      </c>
    </row>
    <row r="2" spans="1:6" x14ac:dyDescent="0.45">
      <c r="A2" s="2">
        <v>43466</v>
      </c>
      <c r="B2" s="3">
        <f>-Sheet2!B2</f>
        <v>-0.41223970055580139</v>
      </c>
      <c r="C2">
        <f>STANDARDIZE(Sheet2!C2,AVERAGE(Sheet2!C$2:C$42),STDEV(Sheet2!C$2:C$42))</f>
        <v>-0.35901183289050143</v>
      </c>
      <c r="D2">
        <f>STANDARDIZE(Sheet2!D2,AVERAGE(Sheet2!D$2:D$42),STDEV(Sheet2!D$2:D$42))</f>
        <v>-0.35614938374953259</v>
      </c>
      <c r="F2">
        <f>CORREL(B2:B42,D2:D42)</f>
        <v>0.71428823231771899</v>
      </c>
    </row>
    <row r="3" spans="1:6" x14ac:dyDescent="0.45">
      <c r="A3" s="2">
        <v>43497</v>
      </c>
      <c r="B3" s="3">
        <f>-Sheet2!B3</f>
        <v>-0.30214333534240723</v>
      </c>
      <c r="C3">
        <f>STANDARDIZE(Sheet2!C3,AVERAGE(Sheet2!C$2:C$42),STDEV(Sheet2!C$2:C$42))</f>
        <v>6.7409196656341624E-2</v>
      </c>
      <c r="D3">
        <f>STANDARDIZE(Sheet2!D3,AVERAGE(Sheet2!D$2:D$42),STDEV(Sheet2!D$2:D$42))</f>
        <v>6.5163706485777267E-2</v>
      </c>
    </row>
    <row r="4" spans="1:6" x14ac:dyDescent="0.45">
      <c r="A4" s="2">
        <v>43525</v>
      </c>
      <c r="B4" s="3">
        <f>-Sheet2!B4</f>
        <v>-0.2627846896648407</v>
      </c>
      <c r="C4">
        <f>STANDARDIZE(Sheet2!C4,AVERAGE(Sheet2!C$2:C$42),STDEV(Sheet2!C$2:C$42))</f>
        <v>-0.40604116078785885</v>
      </c>
      <c r="D4">
        <f>STANDARDIZE(Sheet2!D4,AVERAGE(Sheet2!D$2:D$42),STDEV(Sheet2!D$2:D$42))</f>
        <v>-0.32195899558978175</v>
      </c>
    </row>
    <row r="5" spans="1:6" x14ac:dyDescent="0.45">
      <c r="A5" s="2">
        <v>43556</v>
      </c>
      <c r="B5" s="3">
        <f>-Sheet2!B5</f>
        <v>-0.25964725017547607</v>
      </c>
      <c r="C5">
        <f>STANDARDIZE(Sheet2!C5,AVERAGE(Sheet2!C$2:C$42),STDEV(Sheet2!C$2:C$42))</f>
        <v>5.3264140529606117E-2</v>
      </c>
      <c r="D5">
        <f>STANDARDIZE(Sheet2!D5,AVERAGE(Sheet2!D$2:D$42),STDEV(Sheet2!D$2:D$42))</f>
        <v>3.2213649468204208E-2</v>
      </c>
    </row>
    <row r="6" spans="1:6" x14ac:dyDescent="0.45">
      <c r="A6" s="2">
        <v>43586</v>
      </c>
      <c r="B6" s="3">
        <f>-Sheet2!B6</f>
        <v>-0.31806069612503052</v>
      </c>
      <c r="C6">
        <f>STANDARDIZE(Sheet2!C6,AVERAGE(Sheet2!C$2:C$42),STDEV(Sheet2!C$2:C$42))</f>
        <v>8.2270082120927401E-2</v>
      </c>
      <c r="D6">
        <f>STANDARDIZE(Sheet2!D6,AVERAGE(Sheet2!D$2:D$42),STDEV(Sheet2!D$2:D$42))</f>
        <v>4.2157165840301297E-2</v>
      </c>
    </row>
    <row r="7" spans="1:6" x14ac:dyDescent="0.45">
      <c r="A7" s="2">
        <v>43617</v>
      </c>
      <c r="B7" s="3">
        <f>-Sheet2!B7</f>
        <v>-0.28043833374977112</v>
      </c>
      <c r="C7">
        <f>STANDARDIZE(Sheet2!C7,AVERAGE(Sheet2!C$2:C$42),STDEV(Sheet2!C$2:C$42))</f>
        <v>0.15650133506548525</v>
      </c>
      <c r="D7">
        <f>STANDARDIZE(Sheet2!D7,AVERAGE(Sheet2!D$2:D$42),STDEV(Sheet2!D$2:D$42))</f>
        <v>0.13184348462361137</v>
      </c>
    </row>
    <row r="8" spans="1:6" x14ac:dyDescent="0.45">
      <c r="A8" s="2">
        <v>43647</v>
      </c>
      <c r="B8" s="3">
        <f>-Sheet2!B8</f>
        <v>-0.33625343441963196</v>
      </c>
      <c r="C8">
        <f>STANDARDIZE(Sheet2!C8,AVERAGE(Sheet2!C$2:C$42),STDEV(Sheet2!C$2:C$42))</f>
        <v>-0.13736752730668131</v>
      </c>
      <c r="D8">
        <f>STANDARDIZE(Sheet2!D8,AVERAGE(Sheet2!D$2:D$42),STDEV(Sheet2!D$2:D$42))</f>
        <v>-0.17447761741479173</v>
      </c>
    </row>
    <row r="9" spans="1:6" x14ac:dyDescent="0.45">
      <c r="A9" s="2">
        <v>43678</v>
      </c>
      <c r="B9" s="3">
        <f>-Sheet2!B9</f>
        <v>-0.15042915940284729</v>
      </c>
      <c r="C9">
        <f>STANDARDIZE(Sheet2!C9,AVERAGE(Sheet2!C$2:C$42),STDEV(Sheet2!C$2:C$42))</f>
        <v>0.25758588256781573</v>
      </c>
      <c r="D9">
        <f>STANDARDIZE(Sheet2!D9,AVERAGE(Sheet2!D$2:D$42),STDEV(Sheet2!D$2:D$42))</f>
        <v>0.26043051843065329</v>
      </c>
    </row>
    <row r="10" spans="1:6" x14ac:dyDescent="0.45">
      <c r="A10" s="2">
        <v>43709</v>
      </c>
      <c r="B10" s="3">
        <f>-Sheet2!B10</f>
        <v>-0.2170158177614212</v>
      </c>
      <c r="C10">
        <f>STANDARDIZE(Sheet2!C10,AVERAGE(Sheet2!C$2:C$42),STDEV(Sheet2!C$2:C$42))</f>
        <v>0.19568938144942719</v>
      </c>
      <c r="D10">
        <f>STANDARDIZE(Sheet2!D10,AVERAGE(Sheet2!D$2:D$42),STDEV(Sheet2!D$2:D$42))</f>
        <v>0.16989451392417787</v>
      </c>
    </row>
    <row r="11" spans="1:6" x14ac:dyDescent="0.45">
      <c r="A11" s="2">
        <v>43739</v>
      </c>
      <c r="B11" s="3">
        <f>-Sheet2!B11</f>
        <v>-1.1771630048751831</v>
      </c>
      <c r="C11">
        <f>STANDARDIZE(Sheet2!C11,AVERAGE(Sheet2!C$2:C$42),STDEV(Sheet2!C$2:C$42))</f>
        <v>-5.1347048469317516</v>
      </c>
      <c r="D11">
        <f>STANDARDIZE(Sheet2!D11,AVERAGE(Sheet2!D$2:D$42),STDEV(Sheet2!D$2:D$42))</f>
        <v>-5.2766950708540863</v>
      </c>
    </row>
    <row r="12" spans="1:6" x14ac:dyDescent="0.45">
      <c r="A12" s="2">
        <v>43770</v>
      </c>
      <c r="B12" s="3">
        <f>-Sheet2!B12</f>
        <v>-0.2684859037399292</v>
      </c>
      <c r="C12">
        <f>STANDARDIZE(Sheet2!C12,AVERAGE(Sheet2!C$2:C$42),STDEV(Sheet2!C$2:C$42))</f>
        <v>-0.66587756340184623</v>
      </c>
      <c r="D12">
        <f>STANDARDIZE(Sheet2!D12,AVERAGE(Sheet2!D$2:D$42),STDEV(Sheet2!D$2:D$42))</f>
        <v>-0.69096717317812095</v>
      </c>
    </row>
    <row r="13" spans="1:6" x14ac:dyDescent="0.45">
      <c r="A13" s="2">
        <v>43800</v>
      </c>
      <c r="B13" s="3">
        <f>-Sheet2!B13</f>
        <v>-0.30094164609909058</v>
      </c>
      <c r="C13">
        <f>STANDARDIZE(Sheet2!C13,AVERAGE(Sheet2!C$2:C$42),STDEV(Sheet2!C$2:C$42))</f>
        <v>-0.43931535752055351</v>
      </c>
      <c r="D13">
        <f>STANDARDIZE(Sheet2!D13,AVERAGE(Sheet2!D$2:D$42),STDEV(Sheet2!D$2:D$42))</f>
        <v>-0.44424882088014844</v>
      </c>
    </row>
    <row r="14" spans="1:6" x14ac:dyDescent="0.45">
      <c r="A14" s="2">
        <v>43831</v>
      </c>
      <c r="B14" s="3">
        <f>-Sheet2!B14</f>
        <v>-0.53386276960372925</v>
      </c>
      <c r="C14">
        <f>STANDARDIZE(Sheet2!C14,AVERAGE(Sheet2!C$2:C$42),STDEV(Sheet2!C$2:C$42))</f>
        <v>-0.30117308532033926</v>
      </c>
      <c r="D14">
        <f>STANDARDIZE(Sheet2!D14,AVERAGE(Sheet2!D$2:D$42),STDEV(Sheet2!D$2:D$42))</f>
        <v>-0.23346242944259157</v>
      </c>
    </row>
    <row r="15" spans="1:6" x14ac:dyDescent="0.45">
      <c r="A15" s="2">
        <v>43862</v>
      </c>
      <c r="B15" s="3">
        <f>-Sheet2!B15</f>
        <v>-0.45920643210411072</v>
      </c>
      <c r="C15">
        <f>STANDARDIZE(Sheet2!C15,AVERAGE(Sheet2!C$2:C$42),STDEV(Sheet2!C$2:C$42))</f>
        <v>-2.0512922794360104</v>
      </c>
      <c r="D15">
        <f>STANDARDIZE(Sheet2!D15,AVERAGE(Sheet2!D$2:D$42),STDEV(Sheet2!D$2:D$42))</f>
        <v>-1.7275418981917003</v>
      </c>
    </row>
    <row r="16" spans="1:6" x14ac:dyDescent="0.45">
      <c r="A16" s="2">
        <v>43891</v>
      </c>
      <c r="B16" s="3">
        <f>-Sheet2!B16</f>
        <v>-0.32922866940498352</v>
      </c>
      <c r="C16">
        <f>STANDARDIZE(Sheet2!C16,AVERAGE(Sheet2!C$2:C$42),STDEV(Sheet2!C$2:C$42))</f>
        <v>-1.4918678576269948</v>
      </c>
      <c r="D16">
        <f>STANDARDIZE(Sheet2!D16,AVERAGE(Sheet2!D$2:D$42),STDEV(Sheet2!D$2:D$42))</f>
        <v>-1.4895724029430042</v>
      </c>
    </row>
    <row r="17" spans="1:4" x14ac:dyDescent="0.45">
      <c r="A17" s="2">
        <v>43922</v>
      </c>
      <c r="B17" s="3">
        <f>-Sheet2!B17</f>
        <v>-6.0350030660629272E-2</v>
      </c>
      <c r="C17">
        <f>STANDARDIZE(Sheet2!C17,AVERAGE(Sheet2!C$2:C$42),STDEV(Sheet2!C$2:C$42))</f>
        <v>0.15677326557402183</v>
      </c>
      <c r="D17">
        <f>STANDARDIZE(Sheet2!D17,AVERAGE(Sheet2!D$2:D$42),STDEV(Sheet2!D$2:D$42))</f>
        <v>0.21195436830013273</v>
      </c>
    </row>
    <row r="18" spans="1:4" x14ac:dyDescent="0.45">
      <c r="A18" s="2">
        <v>43952</v>
      </c>
      <c r="B18" s="3">
        <f>-Sheet2!B18</f>
        <v>-0.10814707726240158</v>
      </c>
      <c r="C18">
        <f>STANDARDIZE(Sheet2!C18,AVERAGE(Sheet2!C$2:C$42),STDEV(Sheet2!C$2:C$42))</f>
        <v>0.40809136944857977</v>
      </c>
      <c r="D18">
        <f>STANDARDIZE(Sheet2!D18,AVERAGE(Sheet2!D$2:D$42),STDEV(Sheet2!D$2:D$42))</f>
        <v>0.4162485169501618</v>
      </c>
    </row>
    <row r="19" spans="1:4" x14ac:dyDescent="0.45">
      <c r="A19" s="2">
        <v>43983</v>
      </c>
      <c r="B19" s="3">
        <f>-Sheet2!B19</f>
        <v>-0.12458471953868866</v>
      </c>
      <c r="C19">
        <f>STANDARDIZE(Sheet2!C19,AVERAGE(Sheet2!C$2:C$42),STDEV(Sheet2!C$2:C$42))</f>
        <v>3.6988422351699794E-2</v>
      </c>
      <c r="D19">
        <f>STANDARDIZE(Sheet2!D19,AVERAGE(Sheet2!D$2:D$42),STDEV(Sheet2!D$2:D$42))</f>
        <v>1.1819552867399544E-3</v>
      </c>
    </row>
    <row r="20" spans="1:4" x14ac:dyDescent="0.45">
      <c r="A20" s="2">
        <v>44013</v>
      </c>
      <c r="B20" s="3">
        <f>-Sheet2!B20</f>
        <v>-0.15752284228801727</v>
      </c>
      <c r="C20">
        <f>STANDARDIZE(Sheet2!C20,AVERAGE(Sheet2!C$2:C$42),STDEV(Sheet2!C$2:C$42))</f>
        <v>-3.3786743922397999E-2</v>
      </c>
      <c r="D20">
        <f>STANDARDIZE(Sheet2!D20,AVERAGE(Sheet2!D$2:D$42),STDEV(Sheet2!D$2:D$42))</f>
        <v>-5.1222236849681836E-2</v>
      </c>
    </row>
    <row r="21" spans="1:4" x14ac:dyDescent="0.45">
      <c r="A21" s="2">
        <v>44044</v>
      </c>
      <c r="B21" s="3">
        <f>-Sheet2!B21</f>
        <v>-0.15583953261375427</v>
      </c>
      <c r="C21">
        <f>STANDARDIZE(Sheet2!C21,AVERAGE(Sheet2!C$2:C$42),STDEV(Sheet2!C$2:C$42))</f>
        <v>0.31272306708512226</v>
      </c>
      <c r="D21">
        <f>STANDARDIZE(Sheet2!D21,AVERAGE(Sheet2!D$2:D$42),STDEV(Sheet2!D$2:D$42))</f>
        <v>0.28919375739254666</v>
      </c>
    </row>
    <row r="22" spans="1:4" x14ac:dyDescent="0.45">
      <c r="A22" s="2">
        <v>44075</v>
      </c>
      <c r="B22" s="3">
        <f>-Sheet2!B22</f>
        <v>-0.39881700277328491</v>
      </c>
      <c r="C22">
        <f>STANDARDIZE(Sheet2!C22,AVERAGE(Sheet2!C$2:C$42),STDEV(Sheet2!C$2:C$42))</f>
        <v>-0.14521576796011348</v>
      </c>
      <c r="D22">
        <f>STANDARDIZE(Sheet2!D22,AVERAGE(Sheet2!D$2:D$42),STDEV(Sheet2!D$2:D$42))</f>
        <v>-0.16367756683775361</v>
      </c>
    </row>
    <row r="23" spans="1:4" x14ac:dyDescent="0.45">
      <c r="A23" s="2">
        <v>44105</v>
      </c>
      <c r="B23" s="3">
        <f>-Sheet2!B23</f>
        <v>-0.52727043628692627</v>
      </c>
      <c r="C23">
        <f>STANDARDIZE(Sheet2!C23,AVERAGE(Sheet2!C$2:C$42),STDEV(Sheet2!C$2:C$42))</f>
        <v>-0.14436325720393239</v>
      </c>
      <c r="D23">
        <f>STANDARDIZE(Sheet2!D23,AVERAGE(Sheet2!D$2:D$42),STDEV(Sheet2!D$2:D$42))</f>
        <v>-0.12587023833116798</v>
      </c>
    </row>
    <row r="24" spans="1:4" x14ac:dyDescent="0.45">
      <c r="A24" s="2">
        <v>44136</v>
      </c>
      <c r="B24" s="3">
        <f>-Sheet2!B24</f>
        <v>-0.19272243976593018</v>
      </c>
      <c r="C24">
        <f>STANDARDIZE(Sheet2!C24,AVERAGE(Sheet2!C$2:C$42),STDEV(Sheet2!C$2:C$42))</f>
        <v>0.53494268537678291</v>
      </c>
      <c r="D24">
        <f>STANDARDIZE(Sheet2!D24,AVERAGE(Sheet2!D$2:D$42),STDEV(Sheet2!D$2:D$42))</f>
        <v>0.55381283593759467</v>
      </c>
    </row>
    <row r="25" spans="1:4" x14ac:dyDescent="0.45">
      <c r="A25" s="2">
        <v>44166</v>
      </c>
      <c r="B25" s="3">
        <f>-Sheet2!B25</f>
        <v>-0.21718601882457733</v>
      </c>
      <c r="C25">
        <f>STANDARDIZE(Sheet2!C25,AVERAGE(Sheet2!C$2:C$42),STDEV(Sheet2!C$2:C$42))</f>
        <v>0.25620953730549184</v>
      </c>
      <c r="D25">
        <f>STANDARDIZE(Sheet2!D25,AVERAGE(Sheet2!D$2:D$42),STDEV(Sheet2!D$2:D$42))</f>
        <v>0.21236451301134271</v>
      </c>
    </row>
    <row r="26" spans="1:4" x14ac:dyDescent="0.45">
      <c r="A26" s="2">
        <v>44197</v>
      </c>
      <c r="B26" s="3">
        <f>-Sheet2!B26</f>
        <v>-0.15986114740371704</v>
      </c>
      <c r="C26">
        <f>STANDARDIZE(Sheet2!C26,AVERAGE(Sheet2!C$2:C$42),STDEV(Sheet2!C$2:C$42))</f>
        <v>0.63810459687465981</v>
      </c>
      <c r="D26">
        <f>STANDARDIZE(Sheet2!D26,AVERAGE(Sheet2!D$2:D$42),STDEV(Sheet2!D$2:D$42))</f>
        <v>0.63285162754994562</v>
      </c>
    </row>
    <row r="27" spans="1:4" x14ac:dyDescent="0.45">
      <c r="A27" s="2">
        <v>44228</v>
      </c>
      <c r="B27" s="3">
        <f>-Sheet2!B27</f>
        <v>-0.14009806513786316</v>
      </c>
      <c r="C27">
        <f>STANDARDIZE(Sheet2!C27,AVERAGE(Sheet2!C$2:C$42),STDEV(Sheet2!C$2:C$42))</f>
        <v>0.49123083691456015</v>
      </c>
      <c r="D27">
        <f>STANDARDIZE(Sheet2!D27,AVERAGE(Sheet2!D$2:D$42),STDEV(Sheet2!D$2:D$42))</f>
        <v>0.49495618601112179</v>
      </c>
    </row>
    <row r="28" spans="1:4" x14ac:dyDescent="0.45">
      <c r="A28" s="2">
        <v>44256</v>
      </c>
      <c r="B28" s="3">
        <f>-Sheet2!B28</f>
        <v>-0.20818248391151428</v>
      </c>
      <c r="C28">
        <f>STANDARDIZE(Sheet2!C28,AVERAGE(Sheet2!C$2:C$42),STDEV(Sheet2!C$2:C$42))</f>
        <v>0.30590005557717359</v>
      </c>
      <c r="D28">
        <f>STANDARDIZE(Sheet2!D28,AVERAGE(Sheet2!D$2:D$42),STDEV(Sheet2!D$2:D$42))</f>
        <v>0.33005949366136567</v>
      </c>
    </row>
    <row r="29" spans="1:4" x14ac:dyDescent="0.45">
      <c r="A29" s="2">
        <v>44287</v>
      </c>
      <c r="B29" s="3">
        <f>-Sheet2!B29</f>
        <v>-0.20247794687747955</v>
      </c>
      <c r="C29">
        <f>STANDARDIZE(Sheet2!C29,AVERAGE(Sheet2!C$2:C$42),STDEV(Sheet2!C$2:C$42))</f>
        <v>7.1647078629908573E-2</v>
      </c>
      <c r="D29">
        <f>STANDARDIZE(Sheet2!D29,AVERAGE(Sheet2!D$2:D$42),STDEV(Sheet2!D$2:D$42))</f>
        <v>0.10566187117234696</v>
      </c>
    </row>
    <row r="30" spans="1:4" x14ac:dyDescent="0.45">
      <c r="A30" s="2">
        <v>44317</v>
      </c>
      <c r="B30" s="3">
        <f>-Sheet2!B30</f>
        <v>-0.1456151008605957</v>
      </c>
      <c r="C30">
        <f>STANDARDIZE(Sheet2!C30,AVERAGE(Sheet2!C$2:C$42),STDEV(Sheet2!C$2:C$42))</f>
        <v>0.45363537923531316</v>
      </c>
      <c r="D30">
        <f>STANDARDIZE(Sheet2!D30,AVERAGE(Sheet2!D$2:D$42),STDEV(Sheet2!D$2:D$42))</f>
        <v>0.45172227140479471</v>
      </c>
    </row>
    <row r="31" spans="1:4" x14ac:dyDescent="0.45">
      <c r="A31" s="2">
        <v>44348</v>
      </c>
      <c r="B31" s="3">
        <f>-Sheet2!B31</f>
        <v>-0.19276179373264313</v>
      </c>
      <c r="C31">
        <f>STANDARDIZE(Sheet2!C31,AVERAGE(Sheet2!C$2:C$42),STDEV(Sheet2!C$2:C$42))</f>
        <v>0.66188111934055738</v>
      </c>
      <c r="D31">
        <f>STANDARDIZE(Sheet2!D31,AVERAGE(Sheet2!D$2:D$42),STDEV(Sheet2!D$2:D$42))</f>
        <v>0.64540387422627377</v>
      </c>
    </row>
    <row r="32" spans="1:4" x14ac:dyDescent="0.45">
      <c r="A32" s="2">
        <v>44378</v>
      </c>
      <c r="B32" s="3">
        <f>-Sheet2!B32</f>
        <v>-0.15785320103168488</v>
      </c>
      <c r="C32">
        <f>STANDARDIZE(Sheet2!C32,AVERAGE(Sheet2!C$2:C$42),STDEV(Sheet2!C$2:C$42))</f>
        <v>0.55427134441454251</v>
      </c>
      <c r="D32">
        <f>STANDARDIZE(Sheet2!D32,AVERAGE(Sheet2!D$2:D$42),STDEV(Sheet2!D$2:D$42))</f>
        <v>0.58166091961654443</v>
      </c>
    </row>
    <row r="33" spans="1:4" x14ac:dyDescent="0.45">
      <c r="A33" s="2">
        <v>44409</v>
      </c>
      <c r="B33" s="3">
        <f>-Sheet2!B33</f>
        <v>-0.25502550601959229</v>
      </c>
      <c r="C33">
        <f>STANDARDIZE(Sheet2!C33,AVERAGE(Sheet2!C$2:C$42),STDEV(Sheet2!C$2:C$42))</f>
        <v>0.23328421748018505</v>
      </c>
      <c r="D33">
        <f>STANDARDIZE(Sheet2!D33,AVERAGE(Sheet2!D$2:D$42),STDEV(Sheet2!D$2:D$42))</f>
        <v>0.35576649086446199</v>
      </c>
    </row>
    <row r="34" spans="1:4" x14ac:dyDescent="0.45">
      <c r="A34" s="2">
        <v>44440</v>
      </c>
      <c r="B34" s="3">
        <f>-Sheet2!B34</f>
        <v>-0.1300828605890274</v>
      </c>
      <c r="C34">
        <f>STANDARDIZE(Sheet2!C34,AVERAGE(Sheet2!C$2:C$42),STDEV(Sheet2!C$2:C$42))</f>
        <v>0.77541463332735716</v>
      </c>
      <c r="D34">
        <f>STANDARDIZE(Sheet2!D34,AVERAGE(Sheet2!D$2:D$42),STDEV(Sheet2!D$2:D$42))</f>
        <v>0.76939380925416345</v>
      </c>
    </row>
    <row r="35" spans="1:4" x14ac:dyDescent="0.45">
      <c r="A35" s="2">
        <v>44470</v>
      </c>
      <c r="B35" s="3">
        <f>-Sheet2!B35</f>
        <v>-0.26264861226081848</v>
      </c>
      <c r="C35">
        <f>STANDARDIZE(Sheet2!C35,AVERAGE(Sheet2!C$2:C$42),STDEV(Sheet2!C$2:C$42))</f>
        <v>0.71210938109257749</v>
      </c>
      <c r="D35">
        <f>STANDARDIZE(Sheet2!D35,AVERAGE(Sheet2!D$2:D$42),STDEV(Sheet2!D$2:D$42))</f>
        <v>0.68185214133829419</v>
      </c>
    </row>
    <row r="36" spans="1:4" x14ac:dyDescent="0.45">
      <c r="A36" s="2">
        <v>44501</v>
      </c>
      <c r="B36" s="3">
        <f>-Sheet2!B36</f>
        <v>-0.37055096030235291</v>
      </c>
      <c r="C36">
        <f>STANDARDIZE(Sheet2!C36,AVERAGE(Sheet2!C$2:C$42),STDEV(Sheet2!C$2:C$42))</f>
        <v>0.67896703504366174</v>
      </c>
      <c r="D36">
        <f>STANDARDIZE(Sheet2!D36,AVERAGE(Sheet2!D$2:D$42),STDEV(Sheet2!D$2:D$42))</f>
        <v>0.65525384999014735</v>
      </c>
    </row>
    <row r="37" spans="1:4" x14ac:dyDescent="0.45">
      <c r="A37" s="2">
        <v>44531</v>
      </c>
      <c r="B37" s="3">
        <f>-Sheet2!B37</f>
        <v>-0.16745318472385406</v>
      </c>
      <c r="C37">
        <f>STANDARDIZE(Sheet2!C37,AVERAGE(Sheet2!C$2:C$42),STDEV(Sheet2!C$2:C$42))</f>
        <v>0.76932118480999834</v>
      </c>
      <c r="D37">
        <f>STANDARDIZE(Sheet2!D37,AVERAGE(Sheet2!D$2:D$42),STDEV(Sheet2!D$2:D$42))</f>
        <v>0.74216100595592482</v>
      </c>
    </row>
    <row r="38" spans="1:4" x14ac:dyDescent="0.45">
      <c r="A38" s="2">
        <v>44562</v>
      </c>
      <c r="B38" s="3">
        <f>-Sheet2!B38</f>
        <v>-0.20028039813041687</v>
      </c>
      <c r="C38">
        <f>STANDARDIZE(Sheet2!C38,AVERAGE(Sheet2!C$2:C$42),STDEV(Sheet2!C$2:C$42))</f>
        <v>0.8512452662036295</v>
      </c>
      <c r="D38">
        <f>STANDARDIZE(Sheet2!D38,AVERAGE(Sheet2!D$2:D$42),STDEV(Sheet2!D$2:D$42))</f>
        <v>0.8312428683839268</v>
      </c>
    </row>
    <row r="39" spans="1:4" x14ac:dyDescent="0.45">
      <c r="A39" s="2">
        <v>44593</v>
      </c>
      <c r="B39" s="3">
        <f>-Sheet2!B39</f>
        <v>-0.31749334931373596</v>
      </c>
      <c r="C39">
        <f>STANDARDIZE(Sheet2!C39,AVERAGE(Sheet2!C$2:C$42),STDEV(Sheet2!C$2:C$42))</f>
        <v>0.5138210382313404</v>
      </c>
      <c r="D39">
        <f>STANDARDIZE(Sheet2!D39,AVERAGE(Sheet2!D$2:D$42),STDEV(Sheet2!D$2:D$42))</f>
        <v>0.50127410829820285</v>
      </c>
    </row>
    <row r="40" spans="1:4" x14ac:dyDescent="0.45">
      <c r="A40" s="2">
        <v>44621</v>
      </c>
      <c r="B40" s="3">
        <f>-Sheet2!B40</f>
        <v>-0.89659297466278076</v>
      </c>
      <c r="C40">
        <f>STANDARDIZE(Sheet2!C40,AVERAGE(Sheet2!C$2:C$42),STDEV(Sheet2!C$2:C$42))</f>
        <v>0.19457325343563936</v>
      </c>
      <c r="D40">
        <f>STANDARDIZE(Sheet2!D40,AVERAGE(Sheet2!D$2:D$42),STDEV(Sheet2!D$2:D$42))</f>
        <v>0.11759727801684831</v>
      </c>
    </row>
    <row r="41" spans="1:4" x14ac:dyDescent="0.45">
      <c r="A41" s="2">
        <v>44652</v>
      </c>
      <c r="B41" s="3">
        <f>-Sheet2!B41</f>
        <v>-0.4480774998664856</v>
      </c>
      <c r="C41">
        <f>STANDARDIZE(Sheet2!C41,AVERAGE(Sheet2!C$2:C$42),STDEV(Sheet2!C$2:C$42))</f>
        <v>0.43553572011285685</v>
      </c>
      <c r="D41">
        <f>STANDARDIZE(Sheet2!D41,AVERAGE(Sheet2!D$2:D$42),STDEV(Sheet2!D$2:D$42))</f>
        <v>0.4004124615626754</v>
      </c>
    </row>
    <row r="42" spans="1:4" x14ac:dyDescent="0.45">
      <c r="A42" s="2">
        <v>44682</v>
      </c>
      <c r="B42" s="3">
        <f>-Sheet2!B42</f>
        <v>-0.4036458432674408</v>
      </c>
      <c r="C42">
        <f>STANDARDIZE(Sheet2!C42,AVERAGE(Sheet2!C$2:C$42),STDEV(Sheet2!C$2:C$42))</f>
        <v>0.45062677405369095</v>
      </c>
      <c r="D42">
        <f>STANDARDIZE(Sheet2!D42,AVERAGE(Sheet2!D$2:D$42),STDEV(Sheet2!D$2:D$42))</f>
        <v>0.37211459130406455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2022-07-01T07:33:30Z</dcterms:created>
  <dcterms:modified xsi:type="dcterms:W3CDTF">2022-07-01T08:34:09Z</dcterms:modified>
</cp:coreProperties>
</file>