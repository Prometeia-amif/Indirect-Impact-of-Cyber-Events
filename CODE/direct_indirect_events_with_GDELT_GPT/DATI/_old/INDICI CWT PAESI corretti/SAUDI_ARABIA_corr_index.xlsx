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/>
  <mc:AlternateContent xmlns:mc="http://schemas.openxmlformats.org/markup-compatibility/2006">
    <mc:Choice Requires="x15">
      <x15ac:absPath xmlns:x15ac="http://schemas.microsoft.com/office/spreadsheetml/2010/11/ac" url="\\COR-FS-BO-01\Amif\CLIMATE RISK &amp; ESG\PROGETTI\NLP\GDELT\INDICI CORRETTI PAESI\"/>
    </mc:Choice>
  </mc:AlternateContent>
  <xr:revisionPtr revIDLastSave="0" documentId="13_ncr:1_{D2D8C9C8-2CE7-4A01-9BC6-69A463717B33}" xr6:coauthVersionLast="36" xr6:coauthVersionMax="36" xr10:uidLastSave="{00000000-0000-0000-0000-000000000000}"/>
  <bookViews>
    <workbookView xWindow="0" yWindow="0" windowWidth="20520" windowHeight="8865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F2" i="3" l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2" i="3"/>
</calcChain>
</file>

<file path=xl/sharedStrings.xml><?xml version="1.0" encoding="utf-8"?>
<sst xmlns="http://schemas.openxmlformats.org/spreadsheetml/2006/main" count="10" uniqueCount="7">
  <si>
    <t>CWT_ID</t>
  </si>
  <si>
    <t>month</t>
  </si>
  <si>
    <t>GPRC_SAU</t>
  </si>
  <si>
    <t>CWT_corr</t>
  </si>
  <si>
    <t>CWT_stand</t>
  </si>
  <si>
    <t>CWT_corr_stand</t>
  </si>
  <si>
    <t xml:space="preserve"> -GPRC_SAU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</si>
</sst>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SAUDI ARABIA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CWT_ID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Sheet2!$A$2:$A$42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Sheet2!$C$2:$C$42</c:f>
              <c:numCache>
                <c:formatCode>General</c:formatCode>
                <c:ptCount val="41"/>
                <c:pt idx="0">
                  <c:v>-570.98658415937075</c:v>
                </c:pt>
                <c:pt idx="1">
                  <c:v>-477.85771101338679</c:v>
                </c:pt>
                <c:pt idx="2">
                  <c:v>-478.23128050725052</c:v>
                </c:pt>
                <c:pt idx="3">
                  <c:v>-657.39322861271103</c:v>
                </c:pt>
                <c:pt idx="4">
                  <c:v>-765.20926587394467</c:v>
                </c:pt>
                <c:pt idx="5">
                  <c:v>-878.86532640097846</c:v>
                </c:pt>
                <c:pt idx="6">
                  <c:v>-323.26949052526368</c:v>
                </c:pt>
                <c:pt idx="7">
                  <c:v>-312.14173934549763</c:v>
                </c:pt>
                <c:pt idx="8">
                  <c:v>-1617.308967444435</c:v>
                </c:pt>
                <c:pt idx="9">
                  <c:v>-327.6218532035889</c:v>
                </c:pt>
                <c:pt idx="10">
                  <c:v>-237.25031747447389</c:v>
                </c:pt>
                <c:pt idx="11">
                  <c:v>-451.84935298230118</c:v>
                </c:pt>
                <c:pt idx="12">
                  <c:v>-521.38145415176189</c:v>
                </c:pt>
                <c:pt idx="13">
                  <c:v>-264.27936905042873</c:v>
                </c:pt>
                <c:pt idx="14">
                  <c:v>-542.66653071848987</c:v>
                </c:pt>
                <c:pt idx="15">
                  <c:v>-460.79558330974339</c:v>
                </c:pt>
                <c:pt idx="16">
                  <c:v>-277.17631207140602</c:v>
                </c:pt>
                <c:pt idx="17">
                  <c:v>-227.15663444183829</c:v>
                </c:pt>
                <c:pt idx="18">
                  <c:v>-192.09370490684219</c:v>
                </c:pt>
                <c:pt idx="19">
                  <c:v>-157.8816544783374</c:v>
                </c:pt>
                <c:pt idx="20">
                  <c:v>-170.94871072770491</c:v>
                </c:pt>
                <c:pt idx="21">
                  <c:v>-112.19230671867329</c:v>
                </c:pt>
                <c:pt idx="22">
                  <c:v>-122.6465698767076</c:v>
                </c:pt>
                <c:pt idx="23">
                  <c:v>-236.17846551307451</c:v>
                </c:pt>
                <c:pt idx="24">
                  <c:v>-164.14661493635549</c:v>
                </c:pt>
                <c:pt idx="25">
                  <c:v>-339.39865039036039</c:v>
                </c:pt>
                <c:pt idx="26">
                  <c:v>-262.77631016827468</c:v>
                </c:pt>
                <c:pt idx="27">
                  <c:v>-172.71928510029309</c:v>
                </c:pt>
                <c:pt idx="28">
                  <c:v>-169.64372800573011</c:v>
                </c:pt>
                <c:pt idx="29">
                  <c:v>-106.4675956504161</c:v>
                </c:pt>
                <c:pt idx="30">
                  <c:v>-147.38130939778631</c:v>
                </c:pt>
                <c:pt idx="31">
                  <c:v>-96.194451849755865</c:v>
                </c:pt>
                <c:pt idx="32">
                  <c:v>-165.2988382117332</c:v>
                </c:pt>
                <c:pt idx="33">
                  <c:v>-131.86076307709271</c:v>
                </c:pt>
                <c:pt idx="34">
                  <c:v>-140.49922932918511</c:v>
                </c:pt>
                <c:pt idx="35">
                  <c:v>-151.40318250185811</c:v>
                </c:pt>
                <c:pt idx="36">
                  <c:v>-214.83724799040661</c:v>
                </c:pt>
                <c:pt idx="37">
                  <c:v>-108.099791274328</c:v>
                </c:pt>
                <c:pt idx="38">
                  <c:v>-306.99137266079032</c:v>
                </c:pt>
                <c:pt idx="39">
                  <c:v>-119.324392494538</c:v>
                </c:pt>
                <c:pt idx="40">
                  <c:v>-67.523571472411675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56-4799-B6AF-1AB14D18D01F}"/>
            </c:ext>
          </c:extLst>
        </c:ser>
        <c:ser>
          <c:idx val="1"/>
          <c:order val="1"/>
          <c:tx>
            <c:strRef>
              <c:f>Sheet2!$D$1</c:f>
              <c:strCache>
                <c:ptCount val="1"/>
                <c:pt idx="0">
                  <c:v>CWT_corr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Sheet2!$A$2:$A$42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Sheet2!$D$2:$D$42</c:f>
              <c:numCache>
                <c:formatCode>General</c:formatCode>
                <c:ptCount val="41"/>
                <c:pt idx="0">
                  <c:v>-205.17162556163589</c:v>
                </c:pt>
                <c:pt idx="1">
                  <c:v>-177.33942630739801</c:v>
                </c:pt>
                <c:pt idx="2">
                  <c:v>-175.56032119815669</c:v>
                </c:pt>
                <c:pt idx="3">
                  <c:v>-247.66441184523811</c:v>
                </c:pt>
                <c:pt idx="4">
                  <c:v>-312.15410120967738</c:v>
                </c:pt>
                <c:pt idx="5">
                  <c:v>-336.05657141369039</c:v>
                </c:pt>
                <c:pt idx="6">
                  <c:v>-123.6915863191244</c:v>
                </c:pt>
                <c:pt idx="7">
                  <c:v>-111.32940923099081</c:v>
                </c:pt>
                <c:pt idx="8">
                  <c:v>-627.60625849702387</c:v>
                </c:pt>
                <c:pt idx="9">
                  <c:v>-123.2232532402074</c:v>
                </c:pt>
                <c:pt idx="10">
                  <c:v>-87.980716250000015</c:v>
                </c:pt>
                <c:pt idx="11">
                  <c:v>-162.49650434907841</c:v>
                </c:pt>
                <c:pt idx="12">
                  <c:v>-184.63894955357139</c:v>
                </c:pt>
                <c:pt idx="13">
                  <c:v>-93.57633968596059</c:v>
                </c:pt>
                <c:pt idx="14">
                  <c:v>-207.17478796082949</c:v>
                </c:pt>
                <c:pt idx="15">
                  <c:v>-158.8190719047619</c:v>
                </c:pt>
                <c:pt idx="16">
                  <c:v>-86.1014631624424</c:v>
                </c:pt>
                <c:pt idx="17">
                  <c:v>-79.902804776785715</c:v>
                </c:pt>
                <c:pt idx="18">
                  <c:v>-65.728159763824891</c:v>
                </c:pt>
                <c:pt idx="19">
                  <c:v>-56.667722839861753</c:v>
                </c:pt>
                <c:pt idx="20">
                  <c:v>-59.991699687500002</c:v>
                </c:pt>
                <c:pt idx="21">
                  <c:v>-39.306888988095238</c:v>
                </c:pt>
                <c:pt idx="22">
                  <c:v>-44.457597127976193</c:v>
                </c:pt>
                <c:pt idx="23">
                  <c:v>-85.98487282546084</c:v>
                </c:pt>
                <c:pt idx="24">
                  <c:v>-60.821158971774189</c:v>
                </c:pt>
                <c:pt idx="25">
                  <c:v>-122.1779113839286</c:v>
                </c:pt>
                <c:pt idx="26">
                  <c:v>-95.084927505760362</c:v>
                </c:pt>
                <c:pt idx="27">
                  <c:v>-62.87101087797619</c:v>
                </c:pt>
                <c:pt idx="28">
                  <c:v>-62.318780515553001</c:v>
                </c:pt>
                <c:pt idx="29">
                  <c:v>-38.283961205357137</c:v>
                </c:pt>
                <c:pt idx="30">
                  <c:v>-52.796160224654379</c:v>
                </c:pt>
                <c:pt idx="31">
                  <c:v>-33.624816949884789</c:v>
                </c:pt>
                <c:pt idx="32">
                  <c:v>-59.627913764880958</c:v>
                </c:pt>
                <c:pt idx="33">
                  <c:v>-47.503754349078328</c:v>
                </c:pt>
                <c:pt idx="34">
                  <c:v>-52.509547589285717</c:v>
                </c:pt>
                <c:pt idx="35">
                  <c:v>-54.221426540898619</c:v>
                </c:pt>
                <c:pt idx="36">
                  <c:v>-74.276938364055297</c:v>
                </c:pt>
                <c:pt idx="37">
                  <c:v>-39.563724856505097</c:v>
                </c:pt>
                <c:pt idx="38">
                  <c:v>-114.4957329781106</c:v>
                </c:pt>
                <c:pt idx="39">
                  <c:v>-42.489268511904768</c:v>
                </c:pt>
                <c:pt idx="40">
                  <c:v>-24.696006532738089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56-4799-B6AF-1AB14D18D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1769280"/>
        <c:axId val="1902840976"/>
      </c:lineChart>
      <c:dateAx>
        <c:axId val="16917692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840976"/>
        <c:crosses val="autoZero"/>
        <c:auto val="1"/>
        <c:lblOffset val="100"/>
        <c:baseTimeUnit val="months"/>
      </c:dateAx>
      <c:valAx>
        <c:axId val="190284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76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SAUDI ARABIA CORR=0.813061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 -GPRC_SAU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Sheet3!$A$2:$A$42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Sheet3!$B$2:$B$42</c:f>
              <c:numCache>
                <c:formatCode>#,##0.00</c:formatCode>
                <c:ptCount val="41"/>
                <c:pt idx="0">
                  <c:v>-0.31449213624000549</c:v>
                </c:pt>
                <c:pt idx="1">
                  <c:v>-0.27381739020347595</c:v>
                </c:pt>
                <c:pt idx="2">
                  <c:v>-0.24192875623703003</c:v>
                </c:pt>
                <c:pt idx="3">
                  <c:v>-0.32679739594459534</c:v>
                </c:pt>
                <c:pt idx="4">
                  <c:v>-0.58024585247039795</c:v>
                </c:pt>
                <c:pt idx="5">
                  <c:v>-0.70756751298904419</c:v>
                </c:pt>
                <c:pt idx="6">
                  <c:v>-0.33182904124259949</c:v>
                </c:pt>
                <c:pt idx="7">
                  <c:v>-0.25219008326530457</c:v>
                </c:pt>
                <c:pt idx="8">
                  <c:v>-0.90349441766738892</c:v>
                </c:pt>
                <c:pt idx="9">
                  <c:v>-0.42041537165641785</c:v>
                </c:pt>
                <c:pt idx="10">
                  <c:v>-0.11443661898374557</c:v>
                </c:pt>
                <c:pt idx="11">
                  <c:v>-0.29608777165412903</c:v>
                </c:pt>
                <c:pt idx="12">
                  <c:v>-0.80300021171569824</c:v>
                </c:pt>
                <c:pt idx="13">
                  <c:v>-0.17833259701728821</c:v>
                </c:pt>
                <c:pt idx="14">
                  <c:v>-8.1238240003585815E-2</c:v>
                </c:pt>
                <c:pt idx="15">
                  <c:v>-0.13462698459625244</c:v>
                </c:pt>
                <c:pt idx="16">
                  <c:v>-8.1110313534736633E-2</c:v>
                </c:pt>
                <c:pt idx="17">
                  <c:v>-5.9985235333442688E-2</c:v>
                </c:pt>
                <c:pt idx="18">
                  <c:v>-9.4513706862926483E-2</c:v>
                </c:pt>
                <c:pt idx="19">
                  <c:v>-0.12912417948246002</c:v>
                </c:pt>
                <c:pt idx="20">
                  <c:v>-0.10306506603956223</c:v>
                </c:pt>
                <c:pt idx="21">
                  <c:v>-0.11389040946960449</c:v>
                </c:pt>
                <c:pt idx="22">
                  <c:v>-0.13765887916088104</c:v>
                </c:pt>
                <c:pt idx="23">
                  <c:v>-0.22190746665000916</c:v>
                </c:pt>
                <c:pt idx="24">
                  <c:v>-0.20553576946258545</c:v>
                </c:pt>
                <c:pt idx="25">
                  <c:v>-0.20014010369777679</c:v>
                </c:pt>
                <c:pt idx="26">
                  <c:v>-0.23081099987030029</c:v>
                </c:pt>
                <c:pt idx="27">
                  <c:v>-8.6776264011859894E-2</c:v>
                </c:pt>
                <c:pt idx="28">
                  <c:v>-9.3945227563381195E-2</c:v>
                </c:pt>
                <c:pt idx="29">
                  <c:v>-0.10601899027824402</c:v>
                </c:pt>
                <c:pt idx="30">
                  <c:v>-6.499837338924408E-2</c:v>
                </c:pt>
                <c:pt idx="31">
                  <c:v>-6.5006501972675323E-2</c:v>
                </c:pt>
                <c:pt idx="32">
                  <c:v>-0.10117556154727936</c:v>
                </c:pt>
                <c:pt idx="33">
                  <c:v>-0.10137314349412918</c:v>
                </c:pt>
                <c:pt idx="34">
                  <c:v>-0.13164310157299042</c:v>
                </c:pt>
                <c:pt idx="35">
                  <c:v>-0.15223017334938049</c:v>
                </c:pt>
                <c:pt idx="36">
                  <c:v>-0.22531543672084808</c:v>
                </c:pt>
                <c:pt idx="37">
                  <c:v>-0.17696350812911987</c:v>
                </c:pt>
                <c:pt idx="38">
                  <c:v>-0.47320184111595154</c:v>
                </c:pt>
                <c:pt idx="39">
                  <c:v>-0.13321223855018616</c:v>
                </c:pt>
                <c:pt idx="40">
                  <c:v>-5.2083332091569901E-2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7A-4241-BACD-C3DB37CEF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1762672"/>
        <c:axId val="1893174320"/>
      </c:lineChart>
      <c:lineChart>
        <c:grouping val="standard"/>
        <c:varyColors val="0"/>
        <c:ser>
          <c:idx val="1"/>
          <c:order val="1"/>
          <c:tx>
            <c:strRef>
              <c:f>Sheet3!$D$1</c:f>
              <c:strCache>
                <c:ptCount val="1"/>
                <c:pt idx="0">
                  <c:v>CWT_corr_stand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Sheet3!$A$2:$A$42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Sheet3!$D$2:$D$42</c:f>
              <c:numCache>
                <c:formatCode>General</c:formatCode>
                <c:ptCount val="41"/>
                <c:pt idx="0">
                  <c:v>-0.77964454990891929</c:v>
                </c:pt>
                <c:pt idx="1">
                  <c:v>-0.52704496798467426</c:v>
                </c:pt>
                <c:pt idx="2">
                  <c:v>-0.51089815893489288</c:v>
                </c:pt>
                <c:pt idx="3">
                  <c:v>-1.1653007444476908</c:v>
                </c:pt>
                <c:pt idx="4">
                  <c:v>-1.750596517271011</c:v>
                </c:pt>
                <c:pt idx="5">
                  <c:v>-1.9675306490418256</c:v>
                </c:pt>
                <c:pt idx="6">
                  <c:v>-4.014769377400261E-2</c:v>
                </c:pt>
                <c:pt idx="7">
                  <c:v>7.2049000982720601E-2</c:v>
                </c:pt>
                <c:pt idx="8">
                  <c:v>-4.61357842969577</c:v>
                </c:pt>
                <c:pt idx="9">
                  <c:v>-3.589719460018273E-2</c:v>
                </c:pt>
                <c:pt idx="10">
                  <c:v>0.28395715928529486</c:v>
                </c:pt>
                <c:pt idx="11">
                  <c:v>-0.39233351931484489</c:v>
                </c:pt>
                <c:pt idx="12">
                  <c:v>-0.59329400936967902</c:v>
                </c:pt>
                <c:pt idx="13">
                  <c:v>0.23317237840550398</c:v>
                </c:pt>
                <c:pt idx="14">
                  <c:v>-0.79782485897973865</c:v>
                </c:pt>
                <c:pt idx="15">
                  <c:v>-0.35895786367571814</c:v>
                </c:pt>
                <c:pt idx="16">
                  <c:v>0.30101289174505075</c:v>
                </c:pt>
                <c:pt idx="17">
                  <c:v>0.35727069955984936</c:v>
                </c:pt>
                <c:pt idx="18">
                  <c:v>0.48591699773742875</c:v>
                </c:pt>
                <c:pt idx="19">
                  <c:v>0.56814774630810083</c:v>
                </c:pt>
                <c:pt idx="20">
                  <c:v>0.5379799843439993</c:v>
                </c:pt>
                <c:pt idx="21">
                  <c:v>0.72571126950488041</c:v>
                </c:pt>
                <c:pt idx="22">
                  <c:v>0.67896445259462046</c:v>
                </c:pt>
                <c:pt idx="23">
                  <c:v>0.30207104277756269</c:v>
                </c:pt>
                <c:pt idx="24">
                  <c:v>0.53045197455515947</c:v>
                </c:pt>
                <c:pt idx="25">
                  <c:v>-2.6409876927155799E-2</c:v>
                </c:pt>
                <c:pt idx="26">
                  <c:v>0.2194807312202961</c:v>
                </c:pt>
                <c:pt idx="27">
                  <c:v>0.5118479206755725</c:v>
                </c:pt>
                <c:pt idx="28">
                  <c:v>0.51685985514038957</c:v>
                </c:pt>
                <c:pt idx="29">
                  <c:v>0.73499516144234545</c:v>
                </c:pt>
                <c:pt idx="30">
                  <c:v>0.60328528930503122</c:v>
                </c:pt>
                <c:pt idx="31">
                  <c:v>0.77728064094421645</c:v>
                </c:pt>
                <c:pt idx="32">
                  <c:v>0.54128163403125873</c:v>
                </c:pt>
                <c:pt idx="33">
                  <c:v>0.65131812707441361</c:v>
                </c:pt>
                <c:pt idx="34">
                  <c:v>0.60588652937258747</c:v>
                </c:pt>
                <c:pt idx="35">
                  <c:v>0.59034985174491161</c:v>
                </c:pt>
                <c:pt idx="36">
                  <c:v>0.40832995976548947</c:v>
                </c:pt>
                <c:pt idx="37">
                  <c:v>0.72338027753436251</c:v>
                </c:pt>
                <c:pt idx="38">
                  <c:v>4.3312067639679645E-2</c:v>
                </c:pt>
                <c:pt idx="39">
                  <c:v>0.69682861708149479</c:v>
                </c:pt>
                <c:pt idx="40">
                  <c:v>0.85831677315387922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7A-4241-BACD-C3DB37CEF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1763472"/>
        <c:axId val="1893174736"/>
      </c:lineChart>
      <c:dateAx>
        <c:axId val="18917626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174320"/>
        <c:crosses val="autoZero"/>
        <c:auto val="1"/>
        <c:lblOffset val="100"/>
        <c:baseTimeUnit val="months"/>
      </c:dateAx>
      <c:valAx>
        <c:axId val="189317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762672"/>
        <c:crosses val="autoZero"/>
        <c:crossBetween val="between"/>
      </c:valAx>
      <c:valAx>
        <c:axId val="1893174736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763472"/>
        <c:crosses val="max"/>
        <c:crossBetween val="between"/>
      </c:valAx>
      <c:dateAx>
        <c:axId val="189176347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893174736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173831</xdr:colOff>
      <xdr:row>19</xdr:row>
      <xdr:rowOff>150018</xdr:rowOff>
    </xdr:from>
    <xdr:to>
      <xdr:col>13</xdr:col>
      <xdr:colOff>211931</xdr:colOff>
      <xdr:row>34</xdr:row>
      <xdr:rowOff>178593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0CACC0-3452-4086-A64D-1B8885D7D4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121443</xdr:colOff>
      <xdr:row>19</xdr:row>
      <xdr:rowOff>164306</xdr:rowOff>
    </xdr:from>
    <xdr:to>
      <xdr:col>13</xdr:col>
      <xdr:colOff>159543</xdr:colOff>
      <xdr:row>35</xdr:row>
      <xdr:rowOff>11906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60FDAE-D0AA-4BA0-9135-EB702F15A4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opLeftCell="A14" workbookViewId="0">
      <selection activeCell="B1" sqref="B1:B42"/>
    </sheetView>
  </sheetViews>
  <sheetFormatPr defaultRowHeight="14.25" x14ac:dyDescent="0.45"/>
  <sheetData>
    <row r="1" spans="1:2" x14ac:dyDescent="0.45">
      <c r="A1" t="s">
        <v>1</v>
      </c>
      <c r="B1" s="1" t="s">
        <v>3</v>
      </c>
    </row>
    <row r="2" spans="1:2" x14ac:dyDescent="0.45">
      <c r="A2" s="2">
        <v>43466</v>
      </c>
      <c r="B2">
        <v>-205.17162556163589</v>
      </c>
    </row>
    <row r="3" spans="1:2" x14ac:dyDescent="0.45">
      <c r="A3" s="2">
        <v>43497</v>
      </c>
      <c r="B3">
        <v>-177.33942630739801</v>
      </c>
    </row>
    <row r="4" spans="1:2" x14ac:dyDescent="0.45">
      <c r="A4" s="2">
        <v>43525</v>
      </c>
      <c r="B4">
        <v>-175.56032119815669</v>
      </c>
    </row>
    <row r="5" spans="1:2" x14ac:dyDescent="0.45">
      <c r="A5" s="2">
        <v>43556</v>
      </c>
      <c r="B5">
        <v>-247.66441184523811</v>
      </c>
    </row>
    <row r="6" spans="1:2" x14ac:dyDescent="0.45">
      <c r="A6" s="2">
        <v>43586</v>
      </c>
      <c r="B6">
        <v>-312.15410120967738</v>
      </c>
    </row>
    <row r="7" spans="1:2" x14ac:dyDescent="0.45">
      <c r="A7" s="2">
        <v>43617</v>
      </c>
      <c r="B7">
        <v>-336.05657141369039</v>
      </c>
    </row>
    <row r="8" spans="1:2" x14ac:dyDescent="0.45">
      <c r="A8" s="2">
        <v>43647</v>
      </c>
      <c r="B8">
        <v>-123.6915863191244</v>
      </c>
    </row>
    <row r="9" spans="1:2" x14ac:dyDescent="0.45">
      <c r="A9" s="2">
        <v>43678</v>
      </c>
      <c r="B9">
        <v>-111.32940923099081</v>
      </c>
    </row>
    <row r="10" spans="1:2" x14ac:dyDescent="0.45">
      <c r="A10" s="2">
        <v>43709</v>
      </c>
      <c r="B10">
        <v>-627.60625849702387</v>
      </c>
    </row>
    <row r="11" spans="1:2" x14ac:dyDescent="0.45">
      <c r="A11" s="2">
        <v>43739</v>
      </c>
      <c r="B11">
        <v>-123.2232532402074</v>
      </c>
    </row>
    <row r="12" spans="1:2" x14ac:dyDescent="0.45">
      <c r="A12" s="2">
        <v>43770</v>
      </c>
      <c r="B12">
        <v>-87.980716250000015</v>
      </c>
    </row>
    <row r="13" spans="1:2" x14ac:dyDescent="0.45">
      <c r="A13" s="2">
        <v>43800</v>
      </c>
      <c r="B13">
        <v>-162.49650434907841</v>
      </c>
    </row>
    <row r="14" spans="1:2" x14ac:dyDescent="0.45">
      <c r="A14" s="2">
        <v>43831</v>
      </c>
      <c r="B14">
        <v>-184.63894955357139</v>
      </c>
    </row>
    <row r="15" spans="1:2" x14ac:dyDescent="0.45">
      <c r="A15" s="2">
        <v>43862</v>
      </c>
      <c r="B15">
        <v>-93.57633968596059</v>
      </c>
    </row>
    <row r="16" spans="1:2" x14ac:dyDescent="0.45">
      <c r="A16" s="2">
        <v>43891</v>
      </c>
      <c r="B16">
        <v>-207.17478796082949</v>
      </c>
    </row>
    <row r="17" spans="1:2" x14ac:dyDescent="0.45">
      <c r="A17" s="2">
        <v>43922</v>
      </c>
      <c r="B17">
        <v>-158.8190719047619</v>
      </c>
    </row>
    <row r="18" spans="1:2" x14ac:dyDescent="0.45">
      <c r="A18" s="2">
        <v>43952</v>
      </c>
      <c r="B18">
        <v>-86.1014631624424</v>
      </c>
    </row>
    <row r="19" spans="1:2" x14ac:dyDescent="0.45">
      <c r="A19" s="2">
        <v>43983</v>
      </c>
      <c r="B19">
        <v>-79.902804776785715</v>
      </c>
    </row>
    <row r="20" spans="1:2" x14ac:dyDescent="0.45">
      <c r="A20" s="2">
        <v>44013</v>
      </c>
      <c r="B20">
        <v>-65.728159763824891</v>
      </c>
    </row>
    <row r="21" spans="1:2" x14ac:dyDescent="0.45">
      <c r="A21" s="2">
        <v>44044</v>
      </c>
      <c r="B21">
        <v>-56.667722839861753</v>
      </c>
    </row>
    <row r="22" spans="1:2" x14ac:dyDescent="0.45">
      <c r="A22" s="2">
        <v>44075</v>
      </c>
      <c r="B22">
        <v>-59.991699687500002</v>
      </c>
    </row>
    <row r="23" spans="1:2" x14ac:dyDescent="0.45">
      <c r="A23" s="2">
        <v>44105</v>
      </c>
      <c r="B23">
        <v>-39.306888988095238</v>
      </c>
    </row>
    <row r="24" spans="1:2" x14ac:dyDescent="0.45">
      <c r="A24" s="2">
        <v>44136</v>
      </c>
      <c r="B24">
        <v>-44.457597127976193</v>
      </c>
    </row>
    <row r="25" spans="1:2" x14ac:dyDescent="0.45">
      <c r="A25" s="2">
        <v>44166</v>
      </c>
      <c r="B25">
        <v>-85.98487282546084</v>
      </c>
    </row>
    <row r="26" spans="1:2" x14ac:dyDescent="0.45">
      <c r="A26" s="2">
        <v>44197</v>
      </c>
      <c r="B26">
        <v>-60.821158971774189</v>
      </c>
    </row>
    <row r="27" spans="1:2" x14ac:dyDescent="0.45">
      <c r="A27" s="2">
        <v>44228</v>
      </c>
      <c r="B27">
        <v>-122.1779113839286</v>
      </c>
    </row>
    <row r="28" spans="1:2" x14ac:dyDescent="0.45">
      <c r="A28" s="2">
        <v>44256</v>
      </c>
      <c r="B28">
        <v>-95.084927505760362</v>
      </c>
    </row>
    <row r="29" spans="1:2" x14ac:dyDescent="0.45">
      <c r="A29" s="2">
        <v>44287</v>
      </c>
      <c r="B29">
        <v>-62.87101087797619</v>
      </c>
    </row>
    <row r="30" spans="1:2" x14ac:dyDescent="0.45">
      <c r="A30" s="2">
        <v>44317</v>
      </c>
      <c r="B30">
        <v>-62.318780515553001</v>
      </c>
    </row>
    <row r="31" spans="1:2" x14ac:dyDescent="0.45">
      <c r="A31" s="2">
        <v>44348</v>
      </c>
      <c r="B31">
        <v>-38.283961205357137</v>
      </c>
    </row>
    <row r="32" spans="1:2" x14ac:dyDescent="0.45">
      <c r="A32" s="2">
        <v>44378</v>
      </c>
      <c r="B32">
        <v>-52.796160224654379</v>
      </c>
    </row>
    <row r="33" spans="1:2" x14ac:dyDescent="0.45">
      <c r="A33" s="2">
        <v>44409</v>
      </c>
      <c r="B33">
        <v>-33.624816949884789</v>
      </c>
    </row>
    <row r="34" spans="1:2" x14ac:dyDescent="0.45">
      <c r="A34" s="2">
        <v>44440</v>
      </c>
      <c r="B34">
        <v>-59.627913764880958</v>
      </c>
    </row>
    <row r="35" spans="1:2" x14ac:dyDescent="0.45">
      <c r="A35" s="2">
        <v>44470</v>
      </c>
      <c r="B35">
        <v>-47.503754349078328</v>
      </c>
    </row>
    <row r="36" spans="1:2" x14ac:dyDescent="0.45">
      <c r="A36" s="2">
        <v>44501</v>
      </c>
      <c r="B36">
        <v>-52.509547589285717</v>
      </c>
    </row>
    <row r="37" spans="1:2" x14ac:dyDescent="0.45">
      <c r="A37" s="2">
        <v>44531</v>
      </c>
      <c r="B37">
        <v>-54.221426540898619</v>
      </c>
    </row>
    <row r="38" spans="1:2" x14ac:dyDescent="0.45">
      <c r="A38" s="2">
        <v>44562</v>
      </c>
      <c r="B38">
        <v>-74.276938364055297</v>
      </c>
    </row>
    <row r="39" spans="1:2" x14ac:dyDescent="0.45">
      <c r="A39" s="2">
        <v>44593</v>
      </c>
      <c r="B39">
        <v>-39.563724856505097</v>
      </c>
    </row>
    <row r="40" spans="1:2" x14ac:dyDescent="0.45">
      <c r="A40" s="2">
        <v>44621</v>
      </c>
      <c r="B40">
        <v>-114.4957329781106</v>
      </c>
    </row>
    <row r="41" spans="1:2" x14ac:dyDescent="0.45">
      <c r="A41" s="2">
        <v>44652</v>
      </c>
      <c r="B41">
        <v>-42.489268511904768</v>
      </c>
    </row>
    <row r="42" spans="1:2" x14ac:dyDescent="0.45">
      <c r="A42" s="2">
        <v>44682</v>
      </c>
      <c r="B42">
        <v>-24.696006532738089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873D-A38F-42ED-A628-D375FA460F14}">
  <dimension ref="A1:D42"/>
  <sheetViews>
    <sheetView tabSelected="1" topLeftCell="A14" workbookViewId="0">
      <selection activeCell="C1" activeCellId="1" sqref="A1:A42 C1:D42"/>
    </sheetView>
  </sheetViews>
  <sheetFormatPr defaultRowHeight="14.25" x14ac:dyDescent="0.45"/>
  <sheetData>
    <row r="1" spans="1:4" x14ac:dyDescent="0.45">
      <c r="A1" t="s">
        <v>1</v>
      </c>
      <c r="B1" t="s">
        <v>2</v>
      </c>
      <c r="C1" s="1" t="s">
        <v>0</v>
      </c>
      <c r="D1" s="1" t="s">
        <v>3</v>
      </c>
    </row>
    <row r="2" spans="1:4" x14ac:dyDescent="0.45">
      <c r="A2" s="2">
        <v>43466</v>
      </c>
      <c r="B2" s="3">
        <v>0.31449213624000549</v>
      </c>
      <c r="C2">
        <v>-570.98658415937075</v>
      </c>
      <c r="D2">
        <v>-205.17162556163589</v>
      </c>
    </row>
    <row r="3" spans="1:4" x14ac:dyDescent="0.45">
      <c r="A3" s="2">
        <v>43497</v>
      </c>
      <c r="B3" s="3">
        <v>0.27381739020347595</v>
      </c>
      <c r="C3">
        <v>-477.85771101338679</v>
      </c>
      <c r="D3">
        <v>-177.33942630739801</v>
      </c>
    </row>
    <row r="4" spans="1:4" x14ac:dyDescent="0.45">
      <c r="A4" s="2">
        <v>43525</v>
      </c>
      <c r="B4" s="3">
        <v>0.24192875623703003</v>
      </c>
      <c r="C4">
        <v>-478.23128050725052</v>
      </c>
      <c r="D4">
        <v>-175.56032119815669</v>
      </c>
    </row>
    <row r="5" spans="1:4" x14ac:dyDescent="0.45">
      <c r="A5" s="2">
        <v>43556</v>
      </c>
      <c r="B5" s="3">
        <v>0.32679739594459534</v>
      </c>
      <c r="C5">
        <v>-657.39322861271103</v>
      </c>
      <c r="D5">
        <v>-247.66441184523811</v>
      </c>
    </row>
    <row r="6" spans="1:4" x14ac:dyDescent="0.45">
      <c r="A6" s="2">
        <v>43586</v>
      </c>
      <c r="B6" s="3">
        <v>0.58024585247039795</v>
      </c>
      <c r="C6">
        <v>-765.20926587394467</v>
      </c>
      <c r="D6">
        <v>-312.15410120967738</v>
      </c>
    </row>
    <row r="7" spans="1:4" x14ac:dyDescent="0.45">
      <c r="A7" s="2">
        <v>43617</v>
      </c>
      <c r="B7" s="3">
        <v>0.70756751298904419</v>
      </c>
      <c r="C7">
        <v>-878.86532640097846</v>
      </c>
      <c r="D7">
        <v>-336.05657141369039</v>
      </c>
    </row>
    <row r="8" spans="1:4" x14ac:dyDescent="0.45">
      <c r="A8" s="2">
        <v>43647</v>
      </c>
      <c r="B8" s="3">
        <v>0.33182904124259949</v>
      </c>
      <c r="C8">
        <v>-323.26949052526368</v>
      </c>
      <c r="D8">
        <v>-123.6915863191244</v>
      </c>
    </row>
    <row r="9" spans="1:4" x14ac:dyDescent="0.45">
      <c r="A9" s="2">
        <v>43678</v>
      </c>
      <c r="B9" s="3">
        <v>0.25219008326530457</v>
      </c>
      <c r="C9">
        <v>-312.14173934549763</v>
      </c>
      <c r="D9">
        <v>-111.32940923099081</v>
      </c>
    </row>
    <row r="10" spans="1:4" x14ac:dyDescent="0.45">
      <c r="A10" s="2">
        <v>43709</v>
      </c>
      <c r="B10" s="3">
        <v>0.90349441766738892</v>
      </c>
      <c r="C10">
        <v>-1617.308967444435</v>
      </c>
      <c r="D10">
        <v>-627.60625849702387</v>
      </c>
    </row>
    <row r="11" spans="1:4" x14ac:dyDescent="0.45">
      <c r="A11" s="2">
        <v>43739</v>
      </c>
      <c r="B11" s="3">
        <v>0.42041537165641785</v>
      </c>
      <c r="C11">
        <v>-327.6218532035889</v>
      </c>
      <c r="D11">
        <v>-123.2232532402074</v>
      </c>
    </row>
    <row r="12" spans="1:4" x14ac:dyDescent="0.45">
      <c r="A12" s="2">
        <v>43770</v>
      </c>
      <c r="B12" s="3">
        <v>0.11443661898374557</v>
      </c>
      <c r="C12">
        <v>-237.25031747447389</v>
      </c>
      <c r="D12">
        <v>-87.980716250000015</v>
      </c>
    </row>
    <row r="13" spans="1:4" x14ac:dyDescent="0.45">
      <c r="A13" s="2">
        <v>43800</v>
      </c>
      <c r="B13" s="3">
        <v>0.29608777165412903</v>
      </c>
      <c r="C13">
        <v>-451.84935298230118</v>
      </c>
      <c r="D13">
        <v>-162.49650434907841</v>
      </c>
    </row>
    <row r="14" spans="1:4" x14ac:dyDescent="0.45">
      <c r="A14" s="2">
        <v>43831</v>
      </c>
      <c r="B14" s="3">
        <v>0.80300021171569824</v>
      </c>
      <c r="C14">
        <v>-521.38145415176189</v>
      </c>
      <c r="D14">
        <v>-184.63894955357139</v>
      </c>
    </row>
    <row r="15" spans="1:4" x14ac:dyDescent="0.45">
      <c r="A15" s="2">
        <v>43862</v>
      </c>
      <c r="B15" s="3">
        <v>0.17833259701728821</v>
      </c>
      <c r="C15">
        <v>-264.27936905042873</v>
      </c>
      <c r="D15">
        <v>-93.57633968596059</v>
      </c>
    </row>
    <row r="16" spans="1:4" x14ac:dyDescent="0.45">
      <c r="A16" s="2">
        <v>43891</v>
      </c>
      <c r="B16" s="3">
        <v>8.1238240003585815E-2</v>
      </c>
      <c r="C16">
        <v>-542.66653071848987</v>
      </c>
      <c r="D16">
        <v>-207.17478796082949</v>
      </c>
    </row>
    <row r="17" spans="1:4" x14ac:dyDescent="0.45">
      <c r="A17" s="2">
        <v>43922</v>
      </c>
      <c r="B17" s="3">
        <v>0.13462698459625244</v>
      </c>
      <c r="C17">
        <v>-460.79558330974339</v>
      </c>
      <c r="D17">
        <v>-158.8190719047619</v>
      </c>
    </row>
    <row r="18" spans="1:4" x14ac:dyDescent="0.45">
      <c r="A18" s="2">
        <v>43952</v>
      </c>
      <c r="B18" s="3">
        <v>8.1110313534736633E-2</v>
      </c>
      <c r="C18">
        <v>-277.17631207140602</v>
      </c>
      <c r="D18">
        <v>-86.1014631624424</v>
      </c>
    </row>
    <row r="19" spans="1:4" x14ac:dyDescent="0.45">
      <c r="A19" s="2">
        <v>43983</v>
      </c>
      <c r="B19" s="3">
        <v>5.9985235333442688E-2</v>
      </c>
      <c r="C19">
        <v>-227.15663444183829</v>
      </c>
      <c r="D19">
        <v>-79.902804776785715</v>
      </c>
    </row>
    <row r="20" spans="1:4" x14ac:dyDescent="0.45">
      <c r="A20" s="2">
        <v>44013</v>
      </c>
      <c r="B20" s="3">
        <v>9.4513706862926483E-2</v>
      </c>
      <c r="C20">
        <v>-192.09370490684219</v>
      </c>
      <c r="D20">
        <v>-65.728159763824891</v>
      </c>
    </row>
    <row r="21" spans="1:4" x14ac:dyDescent="0.45">
      <c r="A21" s="2">
        <v>44044</v>
      </c>
      <c r="B21" s="3">
        <v>0.12912417948246002</v>
      </c>
      <c r="C21">
        <v>-157.8816544783374</v>
      </c>
      <c r="D21">
        <v>-56.667722839861753</v>
      </c>
    </row>
    <row r="22" spans="1:4" x14ac:dyDescent="0.45">
      <c r="A22" s="2">
        <v>44075</v>
      </c>
      <c r="B22" s="3">
        <v>0.10306506603956223</v>
      </c>
      <c r="C22">
        <v>-170.94871072770491</v>
      </c>
      <c r="D22">
        <v>-59.991699687500002</v>
      </c>
    </row>
    <row r="23" spans="1:4" x14ac:dyDescent="0.45">
      <c r="A23" s="2">
        <v>44105</v>
      </c>
      <c r="B23" s="3">
        <v>0.11389040946960449</v>
      </c>
      <c r="C23">
        <v>-112.19230671867329</v>
      </c>
      <c r="D23">
        <v>-39.306888988095238</v>
      </c>
    </row>
    <row r="24" spans="1:4" x14ac:dyDescent="0.45">
      <c r="A24" s="2">
        <v>44136</v>
      </c>
      <c r="B24" s="3">
        <v>0.13765887916088104</v>
      </c>
      <c r="C24">
        <v>-122.6465698767076</v>
      </c>
      <c r="D24">
        <v>-44.457597127976193</v>
      </c>
    </row>
    <row r="25" spans="1:4" x14ac:dyDescent="0.45">
      <c r="A25" s="2">
        <v>44166</v>
      </c>
      <c r="B25" s="3">
        <v>0.22190746665000916</v>
      </c>
      <c r="C25">
        <v>-236.17846551307451</v>
      </c>
      <c r="D25">
        <v>-85.98487282546084</v>
      </c>
    </row>
    <row r="26" spans="1:4" x14ac:dyDescent="0.45">
      <c r="A26" s="2">
        <v>44197</v>
      </c>
      <c r="B26" s="3">
        <v>0.20553576946258545</v>
      </c>
      <c r="C26">
        <v>-164.14661493635549</v>
      </c>
      <c r="D26">
        <v>-60.821158971774189</v>
      </c>
    </row>
    <row r="27" spans="1:4" x14ac:dyDescent="0.45">
      <c r="A27" s="2">
        <v>44228</v>
      </c>
      <c r="B27" s="3">
        <v>0.20014010369777679</v>
      </c>
      <c r="C27">
        <v>-339.39865039036039</v>
      </c>
      <c r="D27">
        <v>-122.1779113839286</v>
      </c>
    </row>
    <row r="28" spans="1:4" x14ac:dyDescent="0.45">
      <c r="A28" s="2">
        <v>44256</v>
      </c>
      <c r="B28" s="3">
        <v>0.23081099987030029</v>
      </c>
      <c r="C28">
        <v>-262.77631016827468</v>
      </c>
      <c r="D28">
        <v>-95.084927505760362</v>
      </c>
    </row>
    <row r="29" spans="1:4" x14ac:dyDescent="0.45">
      <c r="A29" s="2">
        <v>44287</v>
      </c>
      <c r="B29" s="3">
        <v>8.6776264011859894E-2</v>
      </c>
      <c r="C29">
        <v>-172.71928510029309</v>
      </c>
      <c r="D29">
        <v>-62.87101087797619</v>
      </c>
    </row>
    <row r="30" spans="1:4" x14ac:dyDescent="0.45">
      <c r="A30" s="2">
        <v>44317</v>
      </c>
      <c r="B30" s="3">
        <v>9.3945227563381195E-2</v>
      </c>
      <c r="C30">
        <v>-169.64372800573011</v>
      </c>
      <c r="D30">
        <v>-62.318780515553001</v>
      </c>
    </row>
    <row r="31" spans="1:4" x14ac:dyDescent="0.45">
      <c r="A31" s="2">
        <v>44348</v>
      </c>
      <c r="B31" s="3">
        <v>0.10601899027824402</v>
      </c>
      <c r="C31">
        <v>-106.4675956504161</v>
      </c>
      <c r="D31">
        <v>-38.283961205357137</v>
      </c>
    </row>
    <row r="32" spans="1:4" x14ac:dyDescent="0.45">
      <c r="A32" s="2">
        <v>44378</v>
      </c>
      <c r="B32" s="3">
        <v>6.499837338924408E-2</v>
      </c>
      <c r="C32">
        <v>-147.38130939778631</v>
      </c>
      <c r="D32">
        <v>-52.796160224654379</v>
      </c>
    </row>
    <row r="33" spans="1:4" x14ac:dyDescent="0.45">
      <c r="A33" s="2">
        <v>44409</v>
      </c>
      <c r="B33" s="3">
        <v>6.5006501972675323E-2</v>
      </c>
      <c r="C33">
        <v>-96.194451849755865</v>
      </c>
      <c r="D33">
        <v>-33.624816949884789</v>
      </c>
    </row>
    <row r="34" spans="1:4" x14ac:dyDescent="0.45">
      <c r="A34" s="2">
        <v>44440</v>
      </c>
      <c r="B34" s="3">
        <v>0.10117556154727936</v>
      </c>
      <c r="C34">
        <v>-165.2988382117332</v>
      </c>
      <c r="D34">
        <v>-59.627913764880958</v>
      </c>
    </row>
    <row r="35" spans="1:4" x14ac:dyDescent="0.45">
      <c r="A35" s="2">
        <v>44470</v>
      </c>
      <c r="B35" s="3">
        <v>0.10137314349412918</v>
      </c>
      <c r="C35">
        <v>-131.86076307709271</v>
      </c>
      <c r="D35">
        <v>-47.503754349078328</v>
      </c>
    </row>
    <row r="36" spans="1:4" x14ac:dyDescent="0.45">
      <c r="A36" s="2">
        <v>44501</v>
      </c>
      <c r="B36" s="3">
        <v>0.13164310157299042</v>
      </c>
      <c r="C36">
        <v>-140.49922932918511</v>
      </c>
      <c r="D36">
        <v>-52.509547589285717</v>
      </c>
    </row>
    <row r="37" spans="1:4" x14ac:dyDescent="0.45">
      <c r="A37" s="2">
        <v>44531</v>
      </c>
      <c r="B37" s="3">
        <v>0.15223017334938049</v>
      </c>
      <c r="C37">
        <v>-151.40318250185811</v>
      </c>
      <c r="D37">
        <v>-54.221426540898619</v>
      </c>
    </row>
    <row r="38" spans="1:4" x14ac:dyDescent="0.45">
      <c r="A38" s="2">
        <v>44562</v>
      </c>
      <c r="B38" s="3">
        <v>0.22531543672084808</v>
      </c>
      <c r="C38">
        <v>-214.83724799040661</v>
      </c>
      <c r="D38">
        <v>-74.276938364055297</v>
      </c>
    </row>
    <row r="39" spans="1:4" x14ac:dyDescent="0.45">
      <c r="A39" s="2">
        <v>44593</v>
      </c>
      <c r="B39" s="3">
        <v>0.17696350812911987</v>
      </c>
      <c r="C39">
        <v>-108.099791274328</v>
      </c>
      <c r="D39">
        <v>-39.563724856505097</v>
      </c>
    </row>
    <row r="40" spans="1:4" x14ac:dyDescent="0.45">
      <c r="A40" s="2">
        <v>44621</v>
      </c>
      <c r="B40" s="3">
        <v>0.47320184111595154</v>
      </c>
      <c r="C40">
        <v>-306.99137266079032</v>
      </c>
      <c r="D40">
        <v>-114.4957329781106</v>
      </c>
    </row>
    <row r="41" spans="1:4" x14ac:dyDescent="0.45">
      <c r="A41" s="2">
        <v>44652</v>
      </c>
      <c r="B41" s="3">
        <v>0.13321223855018616</v>
      </c>
      <c r="C41">
        <v>-119.324392494538</v>
      </c>
      <c r="D41">
        <v>-42.489268511904768</v>
      </c>
    </row>
    <row r="42" spans="1:4" x14ac:dyDescent="0.45">
      <c r="A42" s="2">
        <v>44682</v>
      </c>
      <c r="B42" s="3">
        <v>5.2083332091569901E-2</v>
      </c>
      <c r="C42">
        <v>-67.523571472411675</v>
      </c>
      <c r="D42">
        <v>-24.696006532738089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5E2F1-4E62-4E61-88C0-7BBF3DBA5D5A}">
  <dimension ref="A1:F42"/>
  <sheetViews>
    <sheetView topLeftCell="A7" workbookViewId="0">
      <selection activeCell="D1" activeCellId="1" sqref="A1:B42 D1:D42"/>
    </sheetView>
  </sheetViews>
  <sheetFormatPr defaultRowHeight="14.25" x14ac:dyDescent="0.45"/>
  <sheetData>
    <row r="1" spans="1:6" x14ac:dyDescent="0.45">
      <c r="A1" t="s">
        <v>1</v>
      </c>
      <c r="B1" t="s">
        <v>6</v>
      </c>
      <c r="C1" t="s">
        <v>4</v>
      </c>
      <c r="D1" t="s">
        <v>5</v>
      </c>
    </row>
    <row r="2" spans="1:6" x14ac:dyDescent="0.45">
      <c r="A2" s="2">
        <v>43466</v>
      </c>
      <c r="B2" s="3">
        <f>-Sheet2!B2</f>
        <v>-0.31449213624000549</v>
      </c>
      <c r="C2">
        <f>STANDARDIZE(Sheet2!C2,AVERAGE(Sheet2!C$2:C$42),STDEV(Sheet2!C$2:C$42))</f>
        <v>-0.8763826985869646</v>
      </c>
      <c r="D2">
        <f>STANDARDIZE(Sheet2!D2,AVERAGE(Sheet2!D$2:D$42),STDEV(Sheet2!D$2:D$42))</f>
        <v>-0.77964454990891929</v>
      </c>
      <c r="F2">
        <f>CORREL(B2:B42,D2:D42)</f>
        <v>0.81306068780219709</v>
      </c>
    </row>
    <row r="3" spans="1:6" x14ac:dyDescent="0.45">
      <c r="A3" s="2">
        <v>43497</v>
      </c>
      <c r="B3" s="3">
        <f>-Sheet2!B3</f>
        <v>-0.27381739020347595</v>
      </c>
      <c r="C3">
        <f>STANDARDIZE(Sheet2!C3,AVERAGE(Sheet2!C$2:C$42),STDEV(Sheet2!C$2:C$42))</f>
        <v>-0.54710570338251274</v>
      </c>
      <c r="D3">
        <f>STANDARDIZE(Sheet2!D3,AVERAGE(Sheet2!D$2:D$42),STDEV(Sheet2!D$2:D$42))</f>
        <v>-0.52704496798467426</v>
      </c>
    </row>
    <row r="4" spans="1:6" x14ac:dyDescent="0.45">
      <c r="A4" s="2">
        <v>43525</v>
      </c>
      <c r="B4" s="3">
        <f>-Sheet2!B4</f>
        <v>-0.24192875623703003</v>
      </c>
      <c r="C4">
        <f>STANDARDIZE(Sheet2!C4,AVERAGE(Sheet2!C$2:C$42),STDEV(Sheet2!C$2:C$42))</f>
        <v>-0.54842653800967156</v>
      </c>
      <c r="D4">
        <f>STANDARDIZE(Sheet2!D4,AVERAGE(Sheet2!D$2:D$42),STDEV(Sheet2!D$2:D$42))</f>
        <v>-0.51089815893489288</v>
      </c>
    </row>
    <row r="5" spans="1:6" x14ac:dyDescent="0.45">
      <c r="A5" s="2">
        <v>43556</v>
      </c>
      <c r="B5" s="3">
        <f>-Sheet2!B5</f>
        <v>-0.32679739594459534</v>
      </c>
      <c r="C5">
        <f>STANDARDIZE(Sheet2!C5,AVERAGE(Sheet2!C$2:C$42),STDEV(Sheet2!C$2:C$42))</f>
        <v>-1.1818918204110402</v>
      </c>
      <c r="D5">
        <f>STANDARDIZE(Sheet2!D5,AVERAGE(Sheet2!D$2:D$42),STDEV(Sheet2!D$2:D$42))</f>
        <v>-1.1653007444476908</v>
      </c>
    </row>
    <row r="6" spans="1:6" x14ac:dyDescent="0.45">
      <c r="A6" s="2">
        <v>43586</v>
      </c>
      <c r="B6" s="3">
        <f>-Sheet2!B6</f>
        <v>-0.58024585247039795</v>
      </c>
      <c r="C6">
        <f>STANDARDIZE(Sheet2!C6,AVERAGE(Sheet2!C$2:C$42),STDEV(Sheet2!C$2:C$42))</f>
        <v>-1.5630984170868121</v>
      </c>
      <c r="D6">
        <f>STANDARDIZE(Sheet2!D6,AVERAGE(Sheet2!D$2:D$42),STDEV(Sheet2!D$2:D$42))</f>
        <v>-1.750596517271011</v>
      </c>
    </row>
    <row r="7" spans="1:6" x14ac:dyDescent="0.45">
      <c r="A7" s="2">
        <v>43617</v>
      </c>
      <c r="B7" s="3">
        <f>-Sheet2!B7</f>
        <v>-0.70756751298904419</v>
      </c>
      <c r="C7">
        <f>STANDARDIZE(Sheet2!C7,AVERAGE(Sheet2!C$2:C$42),STDEV(Sheet2!C$2:C$42))</f>
        <v>-1.9649536616837544</v>
      </c>
      <c r="D7">
        <f>STANDARDIZE(Sheet2!D7,AVERAGE(Sheet2!D$2:D$42),STDEV(Sheet2!D$2:D$42))</f>
        <v>-1.9675306490418256</v>
      </c>
    </row>
    <row r="8" spans="1:6" x14ac:dyDescent="0.45">
      <c r="A8" s="2">
        <v>43647</v>
      </c>
      <c r="B8" s="3">
        <f>-Sheet2!B8</f>
        <v>-0.33182904124259949</v>
      </c>
      <c r="C8">
        <f>STANDARDIZE(Sheet2!C8,AVERAGE(Sheet2!C$2:C$42),STDEV(Sheet2!C$2:C$42))</f>
        <v>-5.2607649772701791E-4</v>
      </c>
      <c r="D8">
        <f>STANDARDIZE(Sheet2!D8,AVERAGE(Sheet2!D$2:D$42),STDEV(Sheet2!D$2:D$42))</f>
        <v>-4.014769377400261E-2</v>
      </c>
    </row>
    <row r="9" spans="1:6" x14ac:dyDescent="0.45">
      <c r="A9" s="2">
        <v>43678</v>
      </c>
      <c r="B9" s="3">
        <f>-Sheet2!B9</f>
        <v>-0.25219008326530457</v>
      </c>
      <c r="C9">
        <f>STANDARDIZE(Sheet2!C9,AVERAGE(Sheet2!C$2:C$42),STDEV(Sheet2!C$2:C$42))</f>
        <v>3.8818461324742794E-2</v>
      </c>
      <c r="D9">
        <f>STANDARDIZE(Sheet2!D9,AVERAGE(Sheet2!D$2:D$42),STDEV(Sheet2!D$2:D$42))</f>
        <v>7.2049000982720601E-2</v>
      </c>
    </row>
    <row r="10" spans="1:6" x14ac:dyDescent="0.45">
      <c r="A10" s="2">
        <v>43709</v>
      </c>
      <c r="B10" s="3">
        <f>-Sheet2!B10</f>
        <v>-0.90349441766738892</v>
      </c>
      <c r="C10">
        <f>STANDARDIZE(Sheet2!C10,AVERAGE(Sheet2!C$2:C$42),STDEV(Sheet2!C$2:C$42))</f>
        <v>-4.575878663100565</v>
      </c>
      <c r="D10">
        <f>STANDARDIZE(Sheet2!D10,AVERAGE(Sheet2!D$2:D$42),STDEV(Sheet2!D$2:D$42))</f>
        <v>-4.61357842969577</v>
      </c>
    </row>
    <row r="11" spans="1:6" x14ac:dyDescent="0.45">
      <c r="A11" s="2">
        <v>43739</v>
      </c>
      <c r="B11" s="3">
        <f>-Sheet2!B11</f>
        <v>-0.42041537165641785</v>
      </c>
      <c r="C11">
        <f>STANDARDIZE(Sheet2!C11,AVERAGE(Sheet2!C$2:C$42),STDEV(Sheet2!C$2:C$42))</f>
        <v>-1.591478309694061E-2</v>
      </c>
      <c r="D11">
        <f>STANDARDIZE(Sheet2!D11,AVERAGE(Sheet2!D$2:D$42),STDEV(Sheet2!D$2:D$42))</f>
        <v>-3.589719460018273E-2</v>
      </c>
    </row>
    <row r="12" spans="1:6" x14ac:dyDescent="0.45">
      <c r="A12" s="2">
        <v>43770</v>
      </c>
      <c r="B12" s="3">
        <f>-Sheet2!B12</f>
        <v>-0.11443661898374557</v>
      </c>
      <c r="C12">
        <f>STANDARDIZE(Sheet2!C12,AVERAGE(Sheet2!C$2:C$42),STDEV(Sheet2!C$2:C$42))</f>
        <v>0.30361305753577927</v>
      </c>
      <c r="D12">
        <f>STANDARDIZE(Sheet2!D12,AVERAGE(Sheet2!D$2:D$42),STDEV(Sheet2!D$2:D$42))</f>
        <v>0.28395715928529486</v>
      </c>
    </row>
    <row r="13" spans="1:6" x14ac:dyDescent="0.45">
      <c r="A13" s="2">
        <v>43800</v>
      </c>
      <c r="B13" s="3">
        <f>-Sheet2!B13</f>
        <v>-0.29608777165412903</v>
      </c>
      <c r="C13">
        <f>STANDARDIZE(Sheet2!C13,AVERAGE(Sheet2!C$2:C$42),STDEV(Sheet2!C$2:C$42))</f>
        <v>-0.45514760603441068</v>
      </c>
      <c r="D13">
        <f>STANDARDIZE(Sheet2!D13,AVERAGE(Sheet2!D$2:D$42),STDEV(Sheet2!D$2:D$42))</f>
        <v>-0.39233351931484489</v>
      </c>
    </row>
    <row r="14" spans="1:6" x14ac:dyDescent="0.45">
      <c r="A14" s="2">
        <v>43831</v>
      </c>
      <c r="B14" s="3">
        <f>-Sheet2!B14</f>
        <v>-0.80300021171569824</v>
      </c>
      <c r="C14">
        <f>STANDARDIZE(Sheet2!C14,AVERAGE(Sheet2!C$2:C$42),STDEV(Sheet2!C$2:C$42))</f>
        <v>-0.70099318077300399</v>
      </c>
      <c r="D14">
        <f>STANDARDIZE(Sheet2!D14,AVERAGE(Sheet2!D$2:D$42),STDEV(Sheet2!D$2:D$42))</f>
        <v>-0.59329400936967902</v>
      </c>
    </row>
    <row r="15" spans="1:6" x14ac:dyDescent="0.45">
      <c r="A15" s="2">
        <v>43862</v>
      </c>
      <c r="B15" s="3">
        <f>-Sheet2!B15</f>
        <v>-0.17833259701728821</v>
      </c>
      <c r="C15">
        <f>STANDARDIZE(Sheet2!C15,AVERAGE(Sheet2!C$2:C$42),STDEV(Sheet2!C$2:C$42))</f>
        <v>0.20804608044796125</v>
      </c>
      <c r="D15">
        <f>STANDARDIZE(Sheet2!D15,AVERAGE(Sheet2!D$2:D$42),STDEV(Sheet2!D$2:D$42))</f>
        <v>0.23317237840550398</v>
      </c>
    </row>
    <row r="16" spans="1:6" x14ac:dyDescent="0.45">
      <c r="A16" s="2">
        <v>43891</v>
      </c>
      <c r="B16" s="3">
        <f>-Sheet2!B16</f>
        <v>-8.1238240003585815E-2</v>
      </c>
      <c r="C16">
        <f>STANDARDIZE(Sheet2!C16,AVERAGE(Sheet2!C$2:C$42),STDEV(Sheet2!C$2:C$42))</f>
        <v>-0.77625110903766181</v>
      </c>
      <c r="D16">
        <f>STANDARDIZE(Sheet2!D16,AVERAGE(Sheet2!D$2:D$42),STDEV(Sheet2!D$2:D$42))</f>
        <v>-0.79782485897973865</v>
      </c>
    </row>
    <row r="17" spans="1:4" x14ac:dyDescent="0.45">
      <c r="A17" s="2">
        <v>43922</v>
      </c>
      <c r="B17" s="3">
        <f>-Sheet2!B17</f>
        <v>-0.13462698459625244</v>
      </c>
      <c r="C17">
        <f>STANDARDIZE(Sheet2!C17,AVERAGE(Sheet2!C$2:C$42),STDEV(Sheet2!C$2:C$42))</f>
        <v>-0.48677891156958503</v>
      </c>
      <c r="D17">
        <f>STANDARDIZE(Sheet2!D17,AVERAGE(Sheet2!D$2:D$42),STDEV(Sheet2!D$2:D$42))</f>
        <v>-0.35895786367571814</v>
      </c>
    </row>
    <row r="18" spans="1:4" x14ac:dyDescent="0.45">
      <c r="A18" s="2">
        <v>43952</v>
      </c>
      <c r="B18" s="3">
        <f>-Sheet2!B18</f>
        <v>-8.1110313534736633E-2</v>
      </c>
      <c r="C18">
        <f>STANDARDIZE(Sheet2!C18,AVERAGE(Sheet2!C$2:C$42),STDEV(Sheet2!C$2:C$42))</f>
        <v>0.16244618750591333</v>
      </c>
      <c r="D18">
        <f>STANDARDIZE(Sheet2!D18,AVERAGE(Sheet2!D$2:D$42),STDEV(Sheet2!D$2:D$42))</f>
        <v>0.30101289174505075</v>
      </c>
    </row>
    <row r="19" spans="1:4" x14ac:dyDescent="0.45">
      <c r="A19" s="2">
        <v>43983</v>
      </c>
      <c r="B19" s="3">
        <f>-Sheet2!B19</f>
        <v>-5.9985235333442688E-2</v>
      </c>
      <c r="C19">
        <f>STANDARDIZE(Sheet2!C19,AVERAGE(Sheet2!C$2:C$42),STDEV(Sheet2!C$2:C$42))</f>
        <v>0.33930142685946346</v>
      </c>
      <c r="D19">
        <f>STANDARDIZE(Sheet2!D19,AVERAGE(Sheet2!D$2:D$42),STDEV(Sheet2!D$2:D$42))</f>
        <v>0.35727069955984936</v>
      </c>
    </row>
    <row r="20" spans="1:4" x14ac:dyDescent="0.45">
      <c r="A20" s="2">
        <v>44013</v>
      </c>
      <c r="B20" s="3">
        <f>-Sheet2!B20</f>
        <v>-9.4513706862926483E-2</v>
      </c>
      <c r="C20">
        <f>STANDARDIZE(Sheet2!C20,AVERAGE(Sheet2!C$2:C$42),STDEV(Sheet2!C$2:C$42))</f>
        <v>0.46327389308109324</v>
      </c>
      <c r="D20">
        <f>STANDARDIZE(Sheet2!D20,AVERAGE(Sheet2!D$2:D$42),STDEV(Sheet2!D$2:D$42))</f>
        <v>0.48591699773742875</v>
      </c>
    </row>
    <row r="21" spans="1:4" x14ac:dyDescent="0.45">
      <c r="A21" s="2">
        <v>44044</v>
      </c>
      <c r="B21" s="3">
        <f>-Sheet2!B21</f>
        <v>-0.12912417948246002</v>
      </c>
      <c r="C21">
        <f>STANDARDIZE(Sheet2!C21,AVERAGE(Sheet2!C$2:C$42),STDEV(Sheet2!C$2:C$42))</f>
        <v>0.58423789473096222</v>
      </c>
      <c r="D21">
        <f>STANDARDIZE(Sheet2!D21,AVERAGE(Sheet2!D$2:D$42),STDEV(Sheet2!D$2:D$42))</f>
        <v>0.56814774630810083</v>
      </c>
    </row>
    <row r="22" spans="1:4" x14ac:dyDescent="0.45">
      <c r="A22" s="2">
        <v>44075</v>
      </c>
      <c r="B22" s="3">
        <f>-Sheet2!B22</f>
        <v>-0.10306506603956223</v>
      </c>
      <c r="C22">
        <f>STANDARDIZE(Sheet2!C22,AVERAGE(Sheet2!C$2:C$42),STDEV(Sheet2!C$2:C$42))</f>
        <v>0.53803653018513942</v>
      </c>
      <c r="D22">
        <f>STANDARDIZE(Sheet2!D22,AVERAGE(Sheet2!D$2:D$42),STDEV(Sheet2!D$2:D$42))</f>
        <v>0.5379799843439993</v>
      </c>
    </row>
    <row r="23" spans="1:4" x14ac:dyDescent="0.45">
      <c r="A23" s="2">
        <v>44105</v>
      </c>
      <c r="B23" s="3">
        <f>-Sheet2!B23</f>
        <v>-0.11389040946960449</v>
      </c>
      <c r="C23">
        <f>STANDARDIZE(Sheet2!C23,AVERAGE(Sheet2!C$2:C$42),STDEV(Sheet2!C$2:C$42))</f>
        <v>0.74578232917902587</v>
      </c>
      <c r="D23">
        <f>STANDARDIZE(Sheet2!D23,AVERAGE(Sheet2!D$2:D$42),STDEV(Sheet2!D$2:D$42))</f>
        <v>0.72571126950488041</v>
      </c>
    </row>
    <row r="24" spans="1:4" x14ac:dyDescent="0.45">
      <c r="A24" s="2">
        <v>44136</v>
      </c>
      <c r="B24" s="3">
        <f>-Sheet2!B24</f>
        <v>-0.13765887916088104</v>
      </c>
      <c r="C24">
        <f>STANDARDIZE(Sheet2!C24,AVERAGE(Sheet2!C$2:C$42),STDEV(Sheet2!C$2:C$42))</f>
        <v>0.70881905191099659</v>
      </c>
      <c r="D24">
        <f>STANDARDIZE(Sheet2!D24,AVERAGE(Sheet2!D$2:D$42),STDEV(Sheet2!D$2:D$42))</f>
        <v>0.67896445259462046</v>
      </c>
    </row>
    <row r="25" spans="1:4" x14ac:dyDescent="0.45">
      <c r="A25" s="2">
        <v>44166</v>
      </c>
      <c r="B25" s="3">
        <f>-Sheet2!B25</f>
        <v>-0.22190746665000916</v>
      </c>
      <c r="C25">
        <f>STANDARDIZE(Sheet2!C25,AVERAGE(Sheet2!C$2:C$42),STDEV(Sheet2!C$2:C$42))</f>
        <v>0.30740281876912245</v>
      </c>
      <c r="D25">
        <f>STANDARDIZE(Sheet2!D25,AVERAGE(Sheet2!D$2:D$42),STDEV(Sheet2!D$2:D$42))</f>
        <v>0.30207104277756269</v>
      </c>
    </row>
    <row r="26" spans="1:4" x14ac:dyDescent="0.45">
      <c r="A26" s="2">
        <v>44197</v>
      </c>
      <c r="B26" s="3">
        <f>-Sheet2!B26</f>
        <v>-0.20553576946258545</v>
      </c>
      <c r="C26">
        <f>STANDARDIZE(Sheet2!C26,AVERAGE(Sheet2!C$2:C$42),STDEV(Sheet2!C$2:C$42))</f>
        <v>0.56208679072847734</v>
      </c>
      <c r="D26">
        <f>STANDARDIZE(Sheet2!D26,AVERAGE(Sheet2!D$2:D$42),STDEV(Sheet2!D$2:D$42))</f>
        <v>0.53045197455515947</v>
      </c>
    </row>
    <row r="27" spans="1:4" x14ac:dyDescent="0.45">
      <c r="A27" s="2">
        <v>44228</v>
      </c>
      <c r="B27" s="3">
        <f>-Sheet2!B27</f>
        <v>-0.20014010369777679</v>
      </c>
      <c r="C27">
        <f>STANDARDIZE(Sheet2!C27,AVERAGE(Sheet2!C$2:C$42),STDEV(Sheet2!C$2:C$42))</f>
        <v>-5.755416151735461E-2</v>
      </c>
      <c r="D27">
        <f>STANDARDIZE(Sheet2!D27,AVERAGE(Sheet2!D$2:D$42),STDEV(Sheet2!D$2:D$42))</f>
        <v>-2.6409876927155799E-2</v>
      </c>
    </row>
    <row r="28" spans="1:4" x14ac:dyDescent="0.45">
      <c r="A28" s="2">
        <v>44256</v>
      </c>
      <c r="B28" s="3">
        <f>-Sheet2!B28</f>
        <v>-0.23081099987030029</v>
      </c>
      <c r="C28">
        <f>STANDARDIZE(Sheet2!C28,AVERAGE(Sheet2!C$2:C$42),STDEV(Sheet2!C$2:C$42))</f>
        <v>0.21336046572518061</v>
      </c>
      <c r="D28">
        <f>STANDARDIZE(Sheet2!D28,AVERAGE(Sheet2!D$2:D$42),STDEV(Sheet2!D$2:D$42))</f>
        <v>0.2194807312202961</v>
      </c>
    </row>
    <row r="29" spans="1:4" x14ac:dyDescent="0.45">
      <c r="A29" s="2">
        <v>44287</v>
      </c>
      <c r="B29" s="3">
        <f>-Sheet2!B29</f>
        <v>-8.6776264011859894E-2</v>
      </c>
      <c r="C29">
        <f>STANDARDIZE(Sheet2!C29,AVERAGE(Sheet2!C$2:C$42),STDEV(Sheet2!C$2:C$42))</f>
        <v>0.53177628683098699</v>
      </c>
      <c r="D29">
        <f>STANDARDIZE(Sheet2!D29,AVERAGE(Sheet2!D$2:D$42),STDEV(Sheet2!D$2:D$42))</f>
        <v>0.5118479206755725</v>
      </c>
    </row>
    <row r="30" spans="1:4" x14ac:dyDescent="0.45">
      <c r="A30" s="2">
        <v>44317</v>
      </c>
      <c r="B30" s="3">
        <f>-Sheet2!B30</f>
        <v>-9.3945227563381195E-2</v>
      </c>
      <c r="C30">
        <f>STANDARDIZE(Sheet2!C30,AVERAGE(Sheet2!C$2:C$42),STDEV(Sheet2!C$2:C$42))</f>
        <v>0.54265057494880808</v>
      </c>
      <c r="D30">
        <f>STANDARDIZE(Sheet2!D30,AVERAGE(Sheet2!D$2:D$42),STDEV(Sheet2!D$2:D$42))</f>
        <v>0.51685985514038957</v>
      </c>
    </row>
    <row r="31" spans="1:4" x14ac:dyDescent="0.45">
      <c r="A31" s="2">
        <v>44348</v>
      </c>
      <c r="B31" s="3">
        <f>-Sheet2!B31</f>
        <v>-0.10601899027824402</v>
      </c>
      <c r="C31">
        <f>STANDARDIZE(Sheet2!C31,AVERAGE(Sheet2!C$2:C$42),STDEV(Sheet2!C$2:C$42))</f>
        <v>0.76602326622992889</v>
      </c>
      <c r="D31">
        <f>STANDARDIZE(Sheet2!D31,AVERAGE(Sheet2!D$2:D$42),STDEV(Sheet2!D$2:D$42))</f>
        <v>0.73499516144234545</v>
      </c>
    </row>
    <row r="32" spans="1:4" x14ac:dyDescent="0.45">
      <c r="A32" s="2">
        <v>44378</v>
      </c>
      <c r="B32" s="3">
        <f>-Sheet2!B32</f>
        <v>-6.499837338924408E-2</v>
      </c>
      <c r="C32">
        <f>STANDARDIZE(Sheet2!C32,AVERAGE(Sheet2!C$2:C$42),STDEV(Sheet2!C$2:C$42))</f>
        <v>0.62136410446522872</v>
      </c>
      <c r="D32">
        <f>STANDARDIZE(Sheet2!D32,AVERAGE(Sheet2!D$2:D$42),STDEV(Sheet2!D$2:D$42))</f>
        <v>0.60328528930503122</v>
      </c>
    </row>
    <row r="33" spans="1:4" x14ac:dyDescent="0.45">
      <c r="A33" s="2">
        <v>44409</v>
      </c>
      <c r="B33" s="3">
        <f>-Sheet2!B33</f>
        <v>-6.5006501972675323E-2</v>
      </c>
      <c r="C33">
        <f>STANDARDIZE(Sheet2!C33,AVERAGE(Sheet2!C$2:C$42),STDEV(Sheet2!C$2:C$42))</f>
        <v>0.80234615737757642</v>
      </c>
      <c r="D33">
        <f>STANDARDIZE(Sheet2!D33,AVERAGE(Sheet2!D$2:D$42),STDEV(Sheet2!D$2:D$42))</f>
        <v>0.77728064094421645</v>
      </c>
    </row>
    <row r="34" spans="1:4" x14ac:dyDescent="0.45">
      <c r="A34" s="2">
        <v>44440</v>
      </c>
      <c r="B34" s="3">
        <f>-Sheet2!B34</f>
        <v>-0.10117556154727936</v>
      </c>
      <c r="C34">
        <f>STANDARDIZE(Sheet2!C34,AVERAGE(Sheet2!C$2:C$42),STDEV(Sheet2!C$2:C$42))</f>
        <v>0.55801285957152802</v>
      </c>
      <c r="D34">
        <f>STANDARDIZE(Sheet2!D34,AVERAGE(Sheet2!D$2:D$42),STDEV(Sheet2!D$2:D$42))</f>
        <v>0.54128163403125873</v>
      </c>
    </row>
    <row r="35" spans="1:4" x14ac:dyDescent="0.45">
      <c r="A35" s="2">
        <v>44470</v>
      </c>
      <c r="B35" s="3">
        <f>-Sheet2!B35</f>
        <v>-0.10137314349412918</v>
      </c>
      <c r="C35">
        <f>STANDARDIZE(Sheet2!C35,AVERAGE(Sheet2!C$2:C$42),STDEV(Sheet2!C$2:C$42))</f>
        <v>0.67624030648260369</v>
      </c>
      <c r="D35">
        <f>STANDARDIZE(Sheet2!D35,AVERAGE(Sheet2!D$2:D$42),STDEV(Sheet2!D$2:D$42))</f>
        <v>0.65131812707441361</v>
      </c>
    </row>
    <row r="36" spans="1:4" x14ac:dyDescent="0.45">
      <c r="A36" s="2">
        <v>44501</v>
      </c>
      <c r="B36" s="3">
        <f>-Sheet2!B36</f>
        <v>-0.13164310157299042</v>
      </c>
      <c r="C36">
        <f>STANDARDIZE(Sheet2!C36,AVERAGE(Sheet2!C$2:C$42),STDEV(Sheet2!C$2:C$42))</f>
        <v>0.64569716648127196</v>
      </c>
      <c r="D36">
        <f>STANDARDIZE(Sheet2!D36,AVERAGE(Sheet2!D$2:D$42),STDEV(Sheet2!D$2:D$42))</f>
        <v>0.60588652937258747</v>
      </c>
    </row>
    <row r="37" spans="1:4" x14ac:dyDescent="0.45">
      <c r="A37" s="2">
        <v>44531</v>
      </c>
      <c r="B37" s="3">
        <f>-Sheet2!B37</f>
        <v>-0.15223017334938049</v>
      </c>
      <c r="C37">
        <f>STANDARDIZE(Sheet2!C37,AVERAGE(Sheet2!C$2:C$42),STDEV(Sheet2!C$2:C$42))</f>
        <v>0.60714391424853364</v>
      </c>
      <c r="D37">
        <f>STANDARDIZE(Sheet2!D37,AVERAGE(Sheet2!D$2:D$42),STDEV(Sheet2!D$2:D$42))</f>
        <v>0.59034985174491161</v>
      </c>
    </row>
    <row r="38" spans="1:4" x14ac:dyDescent="0.45">
      <c r="A38" s="2">
        <v>44562</v>
      </c>
      <c r="B38" s="3">
        <f>-Sheet2!B38</f>
        <v>-0.22531543672084808</v>
      </c>
      <c r="C38">
        <f>STANDARDIZE(Sheet2!C38,AVERAGE(Sheet2!C$2:C$42),STDEV(Sheet2!C$2:C$42))</f>
        <v>0.38285924535825616</v>
      </c>
      <c r="D38">
        <f>STANDARDIZE(Sheet2!D38,AVERAGE(Sheet2!D$2:D$42),STDEV(Sheet2!D$2:D$42))</f>
        <v>0.40832995976548947</v>
      </c>
    </row>
    <row r="39" spans="1:4" x14ac:dyDescent="0.45">
      <c r="A39" s="2">
        <v>44593</v>
      </c>
      <c r="B39" s="3">
        <f>-Sheet2!B39</f>
        <v>-0.17696350812911987</v>
      </c>
      <c r="C39">
        <f>STANDARDIZE(Sheet2!C39,AVERAGE(Sheet2!C$2:C$42),STDEV(Sheet2!C$2:C$42))</f>
        <v>0.76025229045762366</v>
      </c>
      <c r="D39">
        <f>STANDARDIZE(Sheet2!D39,AVERAGE(Sheet2!D$2:D$42),STDEV(Sheet2!D$2:D$42))</f>
        <v>0.72338027753436251</v>
      </c>
    </row>
    <row r="40" spans="1:4" x14ac:dyDescent="0.45">
      <c r="A40" s="2">
        <v>44621</v>
      </c>
      <c r="B40" s="3">
        <f>-Sheet2!B40</f>
        <v>-0.47320184111595154</v>
      </c>
      <c r="C40">
        <f>STANDARDIZE(Sheet2!C40,AVERAGE(Sheet2!C$2:C$42),STDEV(Sheet2!C$2:C$42))</f>
        <v>5.7028681301131173E-2</v>
      </c>
      <c r="D40">
        <f>STANDARDIZE(Sheet2!D40,AVERAGE(Sheet2!D$2:D$42),STDEV(Sheet2!D$2:D$42))</f>
        <v>4.3312067639679645E-2</v>
      </c>
    </row>
    <row r="41" spans="1:4" x14ac:dyDescent="0.45">
      <c r="A41" s="2">
        <v>44652</v>
      </c>
      <c r="B41" s="3">
        <f>-Sheet2!B41</f>
        <v>-0.13321223855018616</v>
      </c>
      <c r="C41">
        <f>STANDARDIZE(Sheet2!C41,AVERAGE(Sheet2!C$2:C$42),STDEV(Sheet2!C$2:C$42))</f>
        <v>0.72056531865925</v>
      </c>
      <c r="D41">
        <f>STANDARDIZE(Sheet2!D41,AVERAGE(Sheet2!D$2:D$42),STDEV(Sheet2!D$2:D$42))</f>
        <v>0.69682861708149479</v>
      </c>
    </row>
    <row r="42" spans="1:4" x14ac:dyDescent="0.45">
      <c r="A42" s="2">
        <v>44682</v>
      </c>
      <c r="B42" s="3">
        <f>-Sheet2!B42</f>
        <v>-5.2083332091569901E-2</v>
      </c>
      <c r="C42">
        <f>STANDARDIZE(Sheet2!C42,AVERAGE(Sheet2!C$2:C$42),STDEV(Sheet2!C$2:C$42))</f>
        <v>0.90371817039140823</v>
      </c>
      <c r="D42">
        <f>STANDARDIZE(Sheet2!D42,AVERAGE(Sheet2!D$2:D$42),STDEV(Sheet2!D$2:D$42))</f>
        <v>0.85831677315387922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Dimercurio</cp:lastModifiedBy>
  <dcterms:created xsi:type="dcterms:W3CDTF">2022-07-01T07:36:14Z</dcterms:created>
  <dcterms:modified xsi:type="dcterms:W3CDTF">2022-07-01T08:39:13Z</dcterms:modified>
</cp:coreProperties>
</file>