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19C50F20-70DC-4EFB-9FBB-EA72141A0EDF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3" r:id="rId2"/>
    <sheet name="Sheet3" sheetId="4" r:id="rId3"/>
  </sheets>
  <calcPr calcId="191029"/>
</workbook>
</file>

<file path=xl/calcChain.xml><?xml version="1.0" encoding="utf-8"?>
<calcChain xmlns="http://schemas.openxmlformats.org/spreadsheetml/2006/main">
  <c r="F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2" i="4"/>
  <c r="F43" i="3" l="1"/>
</calcChain>
</file>

<file path=xl/sharedStrings.xml><?xml version="1.0" encoding="utf-8"?>
<sst xmlns="http://schemas.openxmlformats.org/spreadsheetml/2006/main" count="10" uniqueCount="7">
  <si>
    <t>CWT_ID</t>
  </si>
  <si>
    <t>CWT_ID_corr</t>
  </si>
  <si>
    <t>month</t>
  </si>
  <si>
    <t>GPRC_BRA</t>
  </si>
  <si>
    <t xml:space="preserve"> -GPRC_BRA</t>
  </si>
  <si>
    <t>CWT_stand</t>
  </si>
  <si>
    <t>CWT_corr_stand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</si>
</sst>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-655.07634450159105</c:v>
                </c:pt>
                <c:pt idx="1">
                  <c:v>-404.22864551941791</c:v>
                </c:pt>
                <c:pt idx="2">
                  <c:v>-396.86818189819888</c:v>
                </c:pt>
                <c:pt idx="3">
                  <c:v>-288.92187474962049</c:v>
                </c:pt>
                <c:pt idx="4">
                  <c:v>-380.56413338329452</c:v>
                </c:pt>
                <c:pt idx="5">
                  <c:v>-244.94524638917861</c:v>
                </c:pt>
                <c:pt idx="6">
                  <c:v>-362.17199161468909</c:v>
                </c:pt>
                <c:pt idx="7">
                  <c:v>-696.62574239741275</c:v>
                </c:pt>
                <c:pt idx="8">
                  <c:v>-311.85455909088961</c:v>
                </c:pt>
                <c:pt idx="9">
                  <c:v>-193.3523064233743</c:v>
                </c:pt>
                <c:pt idx="10">
                  <c:v>-289.12606188960223</c:v>
                </c:pt>
                <c:pt idx="11">
                  <c:v>-218.52996171570251</c:v>
                </c:pt>
                <c:pt idx="12">
                  <c:v>-242.5086855484326</c:v>
                </c:pt>
                <c:pt idx="13">
                  <c:v>-208.48707619986089</c:v>
                </c:pt>
                <c:pt idx="14">
                  <c:v>-396.79433586187469</c:v>
                </c:pt>
                <c:pt idx="15">
                  <c:v>-414.80523920242229</c:v>
                </c:pt>
                <c:pt idx="16">
                  <c:v>-706.58085786932509</c:v>
                </c:pt>
                <c:pt idx="17">
                  <c:v>-690.07351219403654</c:v>
                </c:pt>
                <c:pt idx="18">
                  <c:v>-563.10497885185828</c:v>
                </c:pt>
                <c:pt idx="19">
                  <c:v>-410.59069593258067</c:v>
                </c:pt>
                <c:pt idx="20">
                  <c:v>-303.4878330627497</c:v>
                </c:pt>
                <c:pt idx="21">
                  <c:v>-119.69220559390649</c:v>
                </c:pt>
                <c:pt idx="22">
                  <c:v>-163.31873431345679</c:v>
                </c:pt>
                <c:pt idx="23">
                  <c:v>-201.16150065809509</c:v>
                </c:pt>
                <c:pt idx="24">
                  <c:v>-318.76919490045782</c:v>
                </c:pt>
                <c:pt idx="25">
                  <c:v>-216.93554419017909</c:v>
                </c:pt>
                <c:pt idx="26">
                  <c:v>-448.37530521203081</c:v>
                </c:pt>
                <c:pt idx="27">
                  <c:v>-387.67552539040253</c:v>
                </c:pt>
                <c:pt idx="28">
                  <c:v>-280.5121414373366</c:v>
                </c:pt>
                <c:pt idx="29">
                  <c:v>-223.36564306768179</c:v>
                </c:pt>
                <c:pt idx="30">
                  <c:v>-205.94115796132621</c:v>
                </c:pt>
                <c:pt idx="31">
                  <c:v>-139.5457327709702</c:v>
                </c:pt>
                <c:pt idx="32">
                  <c:v>-184.6032515075303</c:v>
                </c:pt>
                <c:pt idx="33">
                  <c:v>-251.36153845824421</c:v>
                </c:pt>
                <c:pt idx="34">
                  <c:v>-121.3186319035797</c:v>
                </c:pt>
                <c:pt idx="35">
                  <c:v>-102.93067648513571</c:v>
                </c:pt>
                <c:pt idx="36">
                  <c:v>-122.1858964282014</c:v>
                </c:pt>
                <c:pt idx="37">
                  <c:v>-176.00307881447031</c:v>
                </c:pt>
                <c:pt idx="38">
                  <c:v>-110.51728926588569</c:v>
                </c:pt>
                <c:pt idx="39">
                  <c:v>-94.478714315577975</c:v>
                </c:pt>
                <c:pt idx="40">
                  <c:v>-118.66302682733451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0-4B2D-915E-9EB62236450A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CWT_ID_corr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-230.9130065287853</c:v>
                </c:pt>
                <c:pt idx="1">
                  <c:v>-152.13231363636359</c:v>
                </c:pt>
                <c:pt idx="2">
                  <c:v>-153.48901115912949</c:v>
                </c:pt>
                <c:pt idx="3">
                  <c:v>-115.870994784689</c:v>
                </c:pt>
                <c:pt idx="4">
                  <c:v>-145.3181859700571</c:v>
                </c:pt>
                <c:pt idx="5">
                  <c:v>-99.09281001594897</c:v>
                </c:pt>
                <c:pt idx="6">
                  <c:v>-133.74190134279979</c:v>
                </c:pt>
                <c:pt idx="7">
                  <c:v>-296.85102330606583</c:v>
                </c:pt>
                <c:pt idx="8">
                  <c:v>-122.0645656937799</c:v>
                </c:pt>
                <c:pt idx="9">
                  <c:v>-76.161382404692077</c:v>
                </c:pt>
                <c:pt idx="10">
                  <c:v>-117.30930125996809</c:v>
                </c:pt>
                <c:pt idx="11">
                  <c:v>-87.903430930699173</c:v>
                </c:pt>
                <c:pt idx="12">
                  <c:v>-93.046689952153102</c:v>
                </c:pt>
                <c:pt idx="13">
                  <c:v>-79.780422851014677</c:v>
                </c:pt>
                <c:pt idx="14">
                  <c:v>-151.26075297113749</c:v>
                </c:pt>
                <c:pt idx="15">
                  <c:v>-146.8565574322169</c:v>
                </c:pt>
                <c:pt idx="16">
                  <c:v>-243.9548156968668</c:v>
                </c:pt>
                <c:pt idx="17">
                  <c:v>-229.02507521531101</c:v>
                </c:pt>
                <c:pt idx="18">
                  <c:v>-190.24934903534501</c:v>
                </c:pt>
                <c:pt idx="19">
                  <c:v>-132.20529888871741</c:v>
                </c:pt>
                <c:pt idx="20">
                  <c:v>-99.473091052631588</c:v>
                </c:pt>
                <c:pt idx="21">
                  <c:v>-37.833675964912267</c:v>
                </c:pt>
                <c:pt idx="22">
                  <c:v>-53.8063036523126</c:v>
                </c:pt>
                <c:pt idx="23">
                  <c:v>-64.870331671554254</c:v>
                </c:pt>
                <c:pt idx="24">
                  <c:v>-107.1482677728044</c:v>
                </c:pt>
                <c:pt idx="25">
                  <c:v>-71.671927238550921</c:v>
                </c:pt>
                <c:pt idx="26">
                  <c:v>-148.25738433400221</c:v>
                </c:pt>
                <c:pt idx="27">
                  <c:v>-124.94509531100481</c:v>
                </c:pt>
                <c:pt idx="28">
                  <c:v>-95.89498365488501</c:v>
                </c:pt>
                <c:pt idx="29">
                  <c:v>-74.197699808612441</c:v>
                </c:pt>
                <c:pt idx="30">
                  <c:v>-71.396256922364557</c:v>
                </c:pt>
                <c:pt idx="31">
                  <c:v>-47.343282991202351</c:v>
                </c:pt>
                <c:pt idx="32">
                  <c:v>-65.403201594896331</c:v>
                </c:pt>
                <c:pt idx="33">
                  <c:v>-88.011974996141376</c:v>
                </c:pt>
                <c:pt idx="34">
                  <c:v>-38.996083125996812</c:v>
                </c:pt>
                <c:pt idx="35">
                  <c:v>-33.281921469362551</c:v>
                </c:pt>
                <c:pt idx="36">
                  <c:v>-37.286629942892432</c:v>
                </c:pt>
                <c:pt idx="37">
                  <c:v>-56.128475649350648</c:v>
                </c:pt>
                <c:pt idx="38">
                  <c:v>-41.520417394659667</c:v>
                </c:pt>
                <c:pt idx="39">
                  <c:v>-35.196363620414672</c:v>
                </c:pt>
                <c:pt idx="40">
                  <c:v>-41.988600733652312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0-4B2D-915E-9EB622364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076975"/>
        <c:axId val="1249010303"/>
      </c:lineChart>
      <c:dateAx>
        <c:axId val="1571076975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10303"/>
        <c:crosses val="autoZero"/>
        <c:auto val="1"/>
        <c:lblOffset val="100"/>
        <c:baseTimeUnit val="months"/>
        <c:majorUnit val="1"/>
        <c:majorTimeUnit val="months"/>
      </c:dateAx>
      <c:valAx>
        <c:axId val="12490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      CORR=0.259601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-GPRC_BRA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-0.18274542689323425</c:v>
                </c:pt>
                <c:pt idx="1">
                  <c:v>-0.20772354304790497</c:v>
                </c:pt>
                <c:pt idx="2">
                  <c:v>-0.11262200772762299</c:v>
                </c:pt>
                <c:pt idx="3">
                  <c:v>-3.1336735934019089E-2</c:v>
                </c:pt>
                <c:pt idx="4">
                  <c:v>-0.11175104975700378</c:v>
                </c:pt>
                <c:pt idx="5">
                  <c:v>-3.4515488892793655E-2</c:v>
                </c:pt>
                <c:pt idx="6">
                  <c:v>-3.0970711261034012E-2</c:v>
                </c:pt>
                <c:pt idx="7">
                  <c:v>-0.13273161649703979</c:v>
                </c:pt>
                <c:pt idx="8">
                  <c:v>-3.5431154072284698E-2</c:v>
                </c:pt>
                <c:pt idx="9">
                  <c:v>-0.13032875955104828</c:v>
                </c:pt>
                <c:pt idx="10">
                  <c:v>-8.8028170168399811E-2</c:v>
                </c:pt>
                <c:pt idx="11">
                  <c:v>-9.7077950835227966E-2</c:v>
                </c:pt>
                <c:pt idx="12">
                  <c:v>-5.2945069968700409E-2</c:v>
                </c:pt>
                <c:pt idx="13">
                  <c:v>-3.1208204105496407E-2</c:v>
                </c:pt>
                <c:pt idx="14">
                  <c:v>-7.2686851024627686E-2</c:v>
                </c:pt>
                <c:pt idx="15">
                  <c:v>-8.8203892111778259E-2</c:v>
                </c:pt>
                <c:pt idx="16">
                  <c:v>-3.6049026995897293E-2</c:v>
                </c:pt>
                <c:pt idx="17">
                  <c:v>-8.3056479692459106E-2</c:v>
                </c:pt>
                <c:pt idx="18">
                  <c:v>-2.2503262385725975E-2</c:v>
                </c:pt>
                <c:pt idx="19">
                  <c:v>-4.8978138715028763E-2</c:v>
                </c:pt>
                <c:pt idx="20">
                  <c:v>-1.3443269766867161E-2</c:v>
                </c:pt>
                <c:pt idx="21">
                  <c:v>-3.3745307475328445E-2</c:v>
                </c:pt>
                <c:pt idx="22">
                  <c:v>-4.1297663003206253E-2</c:v>
                </c:pt>
                <c:pt idx="23">
                  <c:v>-2.8328612446784973E-2</c:v>
                </c:pt>
                <c:pt idx="24">
                  <c:v>-0.10505161434412003</c:v>
                </c:pt>
                <c:pt idx="25">
                  <c:v>-3.0021015554666519E-2</c:v>
                </c:pt>
                <c:pt idx="26">
                  <c:v>-4.5257061719894409E-2</c:v>
                </c:pt>
                <c:pt idx="27">
                  <c:v>-6.2671743333339691E-2</c:v>
                </c:pt>
                <c:pt idx="28">
                  <c:v>-4.2275354266166687E-2</c:v>
                </c:pt>
                <c:pt idx="29">
                  <c:v>-3.8552358746528625E-2</c:v>
                </c:pt>
                <c:pt idx="30">
                  <c:v>-1.392822340130806E-2</c:v>
                </c:pt>
                <c:pt idx="31">
                  <c:v>-2.0002000033855438E-2</c:v>
                </c:pt>
                <c:pt idx="32">
                  <c:v>-9.6357680857181549E-2</c:v>
                </c:pt>
                <c:pt idx="33">
                  <c:v>-9.2157404869794846E-3</c:v>
                </c:pt>
                <c:pt idx="34">
                  <c:v>-4.8756701871752739E-3</c:v>
                </c:pt>
                <c:pt idx="35">
                  <c:v>-1.5223016962409019E-2</c:v>
                </c:pt>
                <c:pt idx="36">
                  <c:v>-0.12517525255680084</c:v>
                </c:pt>
                <c:pt idx="37">
                  <c:v>-0.19257794320583344</c:v>
                </c:pt>
                <c:pt idx="38">
                  <c:v>-0.13448894023895264</c:v>
                </c:pt>
                <c:pt idx="39">
                  <c:v>-9.6881620585918427E-2</c:v>
                </c:pt>
                <c:pt idx="40">
                  <c:v>-3.2552082091569901E-2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3-4059-8E29-9D91B2B5F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651584"/>
        <c:axId val="1665933184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-1.9589808342243487</c:v>
                </c:pt>
                <c:pt idx="1">
                  <c:v>-0.70241123890464485</c:v>
                </c:pt>
                <c:pt idx="2">
                  <c:v>-0.72405086651595751</c:v>
                </c:pt>
                <c:pt idx="3">
                  <c:v>-0.12403512818132086</c:v>
                </c:pt>
                <c:pt idx="4">
                  <c:v>-0.59372438518783521</c:v>
                </c:pt>
                <c:pt idx="5">
                  <c:v>0.14358065521683394</c:v>
                </c:pt>
                <c:pt idx="6">
                  <c:v>-0.40908006745833586</c:v>
                </c:pt>
                <c:pt idx="7">
                  <c:v>-3.0107068855698746</c:v>
                </c:pt>
                <c:pt idx="8">
                  <c:v>-0.22282396342865449</c:v>
                </c:pt>
                <c:pt idx="9">
                  <c:v>0.50934203221980268</c:v>
                </c:pt>
                <c:pt idx="10">
                  <c:v>-0.14697643675873009</c:v>
                </c:pt>
                <c:pt idx="11">
                  <c:v>0.32205374339125409</c:v>
                </c:pt>
                <c:pt idx="12">
                  <c:v>0.24001761664585869</c:v>
                </c:pt>
                <c:pt idx="13">
                  <c:v>0.45161753117623948</c:v>
                </c:pt>
                <c:pt idx="14">
                  <c:v>-0.68850965220629934</c:v>
                </c:pt>
                <c:pt idx="15">
                  <c:v>-0.61826175258948035</c:v>
                </c:pt>
                <c:pt idx="16">
                  <c:v>-2.1670005947378974</c:v>
                </c:pt>
                <c:pt idx="17">
                  <c:v>-1.9288679093506962</c:v>
                </c:pt>
                <c:pt idx="18">
                  <c:v>-1.3103864418073388</c:v>
                </c:pt>
                <c:pt idx="19">
                  <c:v>-0.38457091612946626</c:v>
                </c:pt>
                <c:pt idx="20">
                  <c:v>0.13751508799689902</c:v>
                </c:pt>
                <c:pt idx="21">
                  <c:v>1.1206774851376002</c:v>
                </c:pt>
                <c:pt idx="22">
                  <c:v>0.86591051657645357</c:v>
                </c:pt>
                <c:pt idx="23">
                  <c:v>0.68943680581931299</c:v>
                </c:pt>
                <c:pt idx="24">
                  <c:v>1.5094310123764753E-2</c:v>
                </c:pt>
                <c:pt idx="25">
                  <c:v>0.58094984187727028</c:v>
                </c:pt>
                <c:pt idx="26">
                  <c:v>-0.64060525362333132</c:v>
                </c:pt>
                <c:pt idx="27">
                  <c:v>-0.26876905228901038</c:v>
                </c:pt>
                <c:pt idx="28">
                  <c:v>0.19458669780028728</c:v>
                </c:pt>
                <c:pt idx="29">
                  <c:v>0.54066320692007619</c:v>
                </c:pt>
                <c:pt idx="30">
                  <c:v>0.58534684480951127</c:v>
                </c:pt>
                <c:pt idx="31">
                  <c:v>0.96899713537230592</c:v>
                </c:pt>
                <c:pt idx="32">
                  <c:v>0.68093741187711521</c:v>
                </c:pt>
                <c:pt idx="33">
                  <c:v>0.32032244137575505</c:v>
                </c:pt>
                <c:pt idx="34">
                  <c:v>1.1021368320616578</c:v>
                </c:pt>
                <c:pt idx="35">
                  <c:v>1.1932789829725823</c:v>
                </c:pt>
                <c:pt idx="36">
                  <c:v>1.1294029910105858</c:v>
                </c:pt>
                <c:pt idx="37">
                  <c:v>0.82887135609882923</c:v>
                </c:pt>
                <c:pt idx="38">
                  <c:v>1.0618731383320681</c:v>
                </c:pt>
                <c:pt idx="39">
                  <c:v>1.1627432043358605</c:v>
                </c:pt>
                <c:pt idx="40">
                  <c:v>1.05440550981531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3-4059-8E29-9D91B2B5F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652784"/>
        <c:axId val="1665946080"/>
      </c:lineChart>
      <c:dateAx>
        <c:axId val="1670651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33184"/>
        <c:auto val="1"/>
        <c:lblOffset val="100"/>
        <c:baseTimeUnit val="months"/>
      </c:dateAx>
      <c:valAx>
        <c:axId val="16659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1584"/>
        <c:crossBetween val="between"/>
      </c:valAx>
      <c:valAx>
        <c:axId val="16659460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2784"/>
        <c:crosses val="max"/>
        <c:crossBetween val="between"/>
      </c:valAx>
      <c:dateAx>
        <c:axId val="16706527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6594608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42863</xdr:colOff>
      <xdr:row>17</xdr:row>
      <xdr:rowOff>30955</xdr:rowOff>
    </xdr:from>
    <xdr:to>
      <xdr:col>17</xdr:col>
      <xdr:colOff>90487</xdr:colOff>
      <xdr:row>37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9FC72-6EBB-4774-96BC-63DE7DA1B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59530</xdr:colOff>
      <xdr:row>5</xdr:row>
      <xdr:rowOff>97631</xdr:rowOff>
    </xdr:from>
    <xdr:to>
      <xdr:col>13</xdr:col>
      <xdr:colOff>97630</xdr:colOff>
      <xdr:row>20</xdr:row>
      <xdr:rowOff>126206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87E14-C7E4-4C50-954E-5DB905EB5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activeCell="F15" sqref="F15"/>
    </sheetView>
  </sheetViews>
  <sheetFormatPr defaultRowHeight="14.25" x14ac:dyDescent="0.45"/>
  <sheetData>
    <row r="1" spans="1:2" x14ac:dyDescent="0.45">
      <c r="A1" t="s">
        <v>2</v>
      </c>
      <c r="B1" s="1" t="s">
        <v>1</v>
      </c>
    </row>
    <row r="2" spans="1:2" x14ac:dyDescent="0.45">
      <c r="A2" s="2">
        <v>43466</v>
      </c>
      <c r="B2">
        <v>-230.9130065287853</v>
      </c>
    </row>
    <row r="3" spans="1:2" x14ac:dyDescent="0.45">
      <c r="A3" s="2">
        <v>43497</v>
      </c>
      <c r="B3">
        <v>-152.13231363636359</v>
      </c>
    </row>
    <row r="4" spans="1:2" x14ac:dyDescent="0.45">
      <c r="A4" s="2">
        <v>43525</v>
      </c>
      <c r="B4">
        <v>-153.48901115912949</v>
      </c>
    </row>
    <row r="5" spans="1:2" x14ac:dyDescent="0.45">
      <c r="A5" s="2">
        <v>43556</v>
      </c>
      <c r="B5">
        <v>-115.870994784689</v>
      </c>
    </row>
    <row r="6" spans="1:2" x14ac:dyDescent="0.45">
      <c r="A6" s="2">
        <v>43586</v>
      </c>
      <c r="B6">
        <v>-145.3181859700571</v>
      </c>
    </row>
    <row r="7" spans="1:2" x14ac:dyDescent="0.45">
      <c r="A7" s="2">
        <v>43617</v>
      </c>
      <c r="B7">
        <v>-99.09281001594897</v>
      </c>
    </row>
    <row r="8" spans="1:2" x14ac:dyDescent="0.45">
      <c r="A8" s="2">
        <v>43647</v>
      </c>
      <c r="B8">
        <v>-133.74190134279979</v>
      </c>
    </row>
    <row r="9" spans="1:2" x14ac:dyDescent="0.45">
      <c r="A9" s="2">
        <v>43678</v>
      </c>
      <c r="B9">
        <v>-296.85102330606583</v>
      </c>
    </row>
    <row r="10" spans="1:2" x14ac:dyDescent="0.45">
      <c r="A10" s="2">
        <v>43709</v>
      </c>
      <c r="B10">
        <v>-122.0645656937799</v>
      </c>
    </row>
    <row r="11" spans="1:2" x14ac:dyDescent="0.45">
      <c r="A11" s="2">
        <v>43739</v>
      </c>
      <c r="B11">
        <v>-76.161382404692077</v>
      </c>
    </row>
    <row r="12" spans="1:2" x14ac:dyDescent="0.45">
      <c r="A12" s="2">
        <v>43770</v>
      </c>
      <c r="B12">
        <v>-117.30930125996809</v>
      </c>
    </row>
    <row r="13" spans="1:2" x14ac:dyDescent="0.45">
      <c r="A13" s="2">
        <v>43800</v>
      </c>
      <c r="B13">
        <v>-87.903430930699173</v>
      </c>
    </row>
    <row r="14" spans="1:2" x14ac:dyDescent="0.45">
      <c r="A14" s="2">
        <v>43831</v>
      </c>
      <c r="B14">
        <v>-93.046689952153102</v>
      </c>
    </row>
    <row r="15" spans="1:2" x14ac:dyDescent="0.45">
      <c r="A15" s="2">
        <v>43862</v>
      </c>
      <c r="B15">
        <v>-79.780422851014677</v>
      </c>
    </row>
    <row r="16" spans="1:2" x14ac:dyDescent="0.45">
      <c r="A16" s="2">
        <v>43891</v>
      </c>
      <c r="B16">
        <v>-151.26075297113749</v>
      </c>
    </row>
    <row r="17" spans="1:2" x14ac:dyDescent="0.45">
      <c r="A17" s="2">
        <v>43922</v>
      </c>
      <c r="B17">
        <v>-146.8565574322169</v>
      </c>
    </row>
    <row r="18" spans="1:2" x14ac:dyDescent="0.45">
      <c r="A18" s="2">
        <v>43952</v>
      </c>
      <c r="B18">
        <v>-243.9548156968668</v>
      </c>
    </row>
    <row r="19" spans="1:2" x14ac:dyDescent="0.45">
      <c r="A19" s="2">
        <v>43983</v>
      </c>
      <c r="B19">
        <v>-229.02507521531101</v>
      </c>
    </row>
    <row r="20" spans="1:2" x14ac:dyDescent="0.45">
      <c r="A20" s="2">
        <v>44013</v>
      </c>
      <c r="B20">
        <v>-190.24934903534501</v>
      </c>
    </row>
    <row r="21" spans="1:2" x14ac:dyDescent="0.45">
      <c r="A21" s="2">
        <v>44044</v>
      </c>
      <c r="B21">
        <v>-132.20529888871741</v>
      </c>
    </row>
    <row r="22" spans="1:2" x14ac:dyDescent="0.45">
      <c r="A22" s="2">
        <v>44075</v>
      </c>
      <c r="B22">
        <v>-99.473091052631588</v>
      </c>
    </row>
    <row r="23" spans="1:2" x14ac:dyDescent="0.45">
      <c r="A23" s="2">
        <v>44105</v>
      </c>
      <c r="B23">
        <v>-37.833675964912267</v>
      </c>
    </row>
    <row r="24" spans="1:2" x14ac:dyDescent="0.45">
      <c r="A24" s="2">
        <v>44136</v>
      </c>
      <c r="B24">
        <v>-53.8063036523126</v>
      </c>
    </row>
    <row r="25" spans="1:2" x14ac:dyDescent="0.45">
      <c r="A25" s="2">
        <v>44166</v>
      </c>
      <c r="B25">
        <v>-64.870331671554254</v>
      </c>
    </row>
    <row r="26" spans="1:2" x14ac:dyDescent="0.45">
      <c r="A26" s="2">
        <v>44197</v>
      </c>
      <c r="B26">
        <v>-107.1482677728044</v>
      </c>
    </row>
    <row r="27" spans="1:2" x14ac:dyDescent="0.45">
      <c r="A27" s="2">
        <v>44228</v>
      </c>
      <c r="B27">
        <v>-71.671927238550921</v>
      </c>
    </row>
    <row r="28" spans="1:2" x14ac:dyDescent="0.45">
      <c r="A28" s="2">
        <v>44256</v>
      </c>
      <c r="B28">
        <v>-148.25738433400221</v>
      </c>
    </row>
    <row r="29" spans="1:2" x14ac:dyDescent="0.45">
      <c r="A29" s="2">
        <v>44287</v>
      </c>
      <c r="B29">
        <v>-124.94509531100481</v>
      </c>
    </row>
    <row r="30" spans="1:2" x14ac:dyDescent="0.45">
      <c r="A30" s="2">
        <v>44317</v>
      </c>
      <c r="B30">
        <v>-95.89498365488501</v>
      </c>
    </row>
    <row r="31" spans="1:2" x14ac:dyDescent="0.45">
      <c r="A31" s="2">
        <v>44348</v>
      </c>
      <c r="B31">
        <v>-74.197699808612441</v>
      </c>
    </row>
    <row r="32" spans="1:2" x14ac:dyDescent="0.45">
      <c r="A32" s="2">
        <v>44378</v>
      </c>
      <c r="B32">
        <v>-71.396256922364557</v>
      </c>
    </row>
    <row r="33" spans="1:2" x14ac:dyDescent="0.45">
      <c r="A33" s="2">
        <v>44409</v>
      </c>
      <c r="B33">
        <v>-47.343282991202351</v>
      </c>
    </row>
    <row r="34" spans="1:2" x14ac:dyDescent="0.45">
      <c r="A34" s="2">
        <v>44440</v>
      </c>
      <c r="B34">
        <v>-65.403201594896331</v>
      </c>
    </row>
    <row r="35" spans="1:2" x14ac:dyDescent="0.45">
      <c r="A35" s="2">
        <v>44470</v>
      </c>
      <c r="B35">
        <v>-88.011974996141376</v>
      </c>
    </row>
    <row r="36" spans="1:2" x14ac:dyDescent="0.45">
      <c r="A36" s="2">
        <v>44501</v>
      </c>
      <c r="B36">
        <v>-38.996083125996812</v>
      </c>
    </row>
    <row r="37" spans="1:2" x14ac:dyDescent="0.45">
      <c r="A37" s="2">
        <v>44531</v>
      </c>
      <c r="B37">
        <v>-33.281921469362551</v>
      </c>
    </row>
    <row r="38" spans="1:2" x14ac:dyDescent="0.45">
      <c r="A38" s="2">
        <v>44562</v>
      </c>
      <c r="B38">
        <v>-37.286629942892432</v>
      </c>
    </row>
    <row r="39" spans="1:2" x14ac:dyDescent="0.45">
      <c r="A39" s="2">
        <v>44593</v>
      </c>
      <c r="B39">
        <v>-56.128475649350648</v>
      </c>
    </row>
    <row r="40" spans="1:2" x14ac:dyDescent="0.45">
      <c r="A40" s="2">
        <v>44621</v>
      </c>
      <c r="B40">
        <v>-41.520417394659667</v>
      </c>
    </row>
    <row r="41" spans="1:2" x14ac:dyDescent="0.45">
      <c r="A41" s="2">
        <v>44652</v>
      </c>
      <c r="B41">
        <v>-35.196363620414672</v>
      </c>
    </row>
    <row r="42" spans="1:2" x14ac:dyDescent="0.45">
      <c r="A42" s="2">
        <v>44682</v>
      </c>
      <c r="B42">
        <v>-41.988600733652312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F4B-3B4C-4D02-A761-30BE6BA05765}">
  <dimension ref="A1:F43"/>
  <sheetViews>
    <sheetView workbookViewId="0">
      <selection activeCell="B1" sqref="B1:D1"/>
    </sheetView>
  </sheetViews>
  <sheetFormatPr defaultRowHeight="14.25" x14ac:dyDescent="0.45"/>
  <sheetData>
    <row r="1" spans="1:4" x14ac:dyDescent="0.45">
      <c r="A1" t="s">
        <v>2</v>
      </c>
      <c r="B1" t="s">
        <v>3</v>
      </c>
      <c r="C1" s="1" t="s">
        <v>0</v>
      </c>
      <c r="D1" s="1" t="s">
        <v>1</v>
      </c>
    </row>
    <row r="2" spans="1:4" x14ac:dyDescent="0.45">
      <c r="A2" s="2">
        <v>43466</v>
      </c>
      <c r="B2" s="3">
        <v>0.18274542689323425</v>
      </c>
      <c r="C2">
        <v>-655.07634450159105</v>
      </c>
      <c r="D2">
        <v>-230.9130065287853</v>
      </c>
    </row>
    <row r="3" spans="1:4" x14ac:dyDescent="0.45">
      <c r="A3" s="2">
        <v>43497</v>
      </c>
      <c r="B3" s="3">
        <v>0.20772354304790497</v>
      </c>
      <c r="C3">
        <v>-404.22864551941791</v>
      </c>
      <c r="D3">
        <v>-152.13231363636359</v>
      </c>
    </row>
    <row r="4" spans="1:4" x14ac:dyDescent="0.45">
      <c r="A4" s="2">
        <v>43525</v>
      </c>
      <c r="B4" s="3">
        <v>0.11262200772762299</v>
      </c>
      <c r="C4">
        <v>-396.86818189819888</v>
      </c>
      <c r="D4">
        <v>-153.48901115912949</v>
      </c>
    </row>
    <row r="5" spans="1:4" x14ac:dyDescent="0.45">
      <c r="A5" s="2">
        <v>43556</v>
      </c>
      <c r="B5" s="3">
        <v>3.1336735934019089E-2</v>
      </c>
      <c r="C5">
        <v>-288.92187474962049</v>
      </c>
      <c r="D5">
        <v>-115.870994784689</v>
      </c>
    </row>
    <row r="6" spans="1:4" x14ac:dyDescent="0.45">
      <c r="A6" s="2">
        <v>43586</v>
      </c>
      <c r="B6" s="3">
        <v>0.11175104975700378</v>
      </c>
      <c r="C6">
        <v>-380.56413338329452</v>
      </c>
      <c r="D6">
        <v>-145.3181859700571</v>
      </c>
    </row>
    <row r="7" spans="1:4" x14ac:dyDescent="0.45">
      <c r="A7" s="2">
        <v>43617</v>
      </c>
      <c r="B7" s="3">
        <v>3.4515488892793655E-2</v>
      </c>
      <c r="C7">
        <v>-244.94524638917861</v>
      </c>
      <c r="D7">
        <v>-99.09281001594897</v>
      </c>
    </row>
    <row r="8" spans="1:4" x14ac:dyDescent="0.45">
      <c r="A8" s="2">
        <v>43647</v>
      </c>
      <c r="B8" s="3">
        <v>3.0970711261034012E-2</v>
      </c>
      <c r="C8">
        <v>-362.17199161468909</v>
      </c>
      <c r="D8">
        <v>-133.74190134279979</v>
      </c>
    </row>
    <row r="9" spans="1:4" x14ac:dyDescent="0.45">
      <c r="A9" s="2">
        <v>43678</v>
      </c>
      <c r="B9" s="3">
        <v>0.13273161649703979</v>
      </c>
      <c r="C9">
        <v>-696.62574239741275</v>
      </c>
      <c r="D9">
        <v>-296.85102330606583</v>
      </c>
    </row>
    <row r="10" spans="1:4" x14ac:dyDescent="0.45">
      <c r="A10" s="2">
        <v>43709</v>
      </c>
      <c r="B10" s="3">
        <v>3.5431154072284698E-2</v>
      </c>
      <c r="C10">
        <v>-311.85455909088961</v>
      </c>
      <c r="D10">
        <v>-122.0645656937799</v>
      </c>
    </row>
    <row r="11" spans="1:4" x14ac:dyDescent="0.45">
      <c r="A11" s="2">
        <v>43739</v>
      </c>
      <c r="B11" s="3">
        <v>0.13032875955104828</v>
      </c>
      <c r="C11">
        <v>-193.3523064233743</v>
      </c>
      <c r="D11">
        <v>-76.161382404692077</v>
      </c>
    </row>
    <row r="12" spans="1:4" x14ac:dyDescent="0.45">
      <c r="A12" s="2">
        <v>43770</v>
      </c>
      <c r="B12" s="3">
        <v>8.8028170168399811E-2</v>
      </c>
      <c r="C12">
        <v>-289.12606188960223</v>
      </c>
      <c r="D12">
        <v>-117.30930125996809</v>
      </c>
    </row>
    <row r="13" spans="1:4" x14ac:dyDescent="0.45">
      <c r="A13" s="2">
        <v>43800</v>
      </c>
      <c r="B13" s="3">
        <v>9.7077950835227966E-2</v>
      </c>
      <c r="C13">
        <v>-218.52996171570251</v>
      </c>
      <c r="D13">
        <v>-87.903430930699173</v>
      </c>
    </row>
    <row r="14" spans="1:4" x14ac:dyDescent="0.45">
      <c r="A14" s="2">
        <v>43831</v>
      </c>
      <c r="B14" s="3">
        <v>5.2945069968700409E-2</v>
      </c>
      <c r="C14">
        <v>-242.5086855484326</v>
      </c>
      <c r="D14">
        <v>-93.046689952153102</v>
      </c>
    </row>
    <row r="15" spans="1:4" x14ac:dyDescent="0.45">
      <c r="A15" s="2">
        <v>43862</v>
      </c>
      <c r="B15" s="3">
        <v>3.1208204105496407E-2</v>
      </c>
      <c r="C15">
        <v>-208.48707619986089</v>
      </c>
      <c r="D15">
        <v>-79.780422851014677</v>
      </c>
    </row>
    <row r="16" spans="1:4" x14ac:dyDescent="0.45">
      <c r="A16" s="2">
        <v>43891</v>
      </c>
      <c r="B16" s="3">
        <v>7.2686851024627686E-2</v>
      </c>
      <c r="C16">
        <v>-396.79433586187469</v>
      </c>
      <c r="D16">
        <v>-151.26075297113749</v>
      </c>
    </row>
    <row r="17" spans="1:4" x14ac:dyDescent="0.45">
      <c r="A17" s="2">
        <v>43922</v>
      </c>
      <c r="B17" s="3">
        <v>8.8203892111778259E-2</v>
      </c>
      <c r="C17">
        <v>-414.80523920242229</v>
      </c>
      <c r="D17">
        <v>-146.8565574322169</v>
      </c>
    </row>
    <row r="18" spans="1:4" x14ac:dyDescent="0.45">
      <c r="A18" s="2">
        <v>43952</v>
      </c>
      <c r="B18" s="3">
        <v>3.6049026995897293E-2</v>
      </c>
      <c r="C18">
        <v>-706.58085786932509</v>
      </c>
      <c r="D18">
        <v>-243.9548156968668</v>
      </c>
    </row>
    <row r="19" spans="1:4" x14ac:dyDescent="0.45">
      <c r="A19" s="2">
        <v>43983</v>
      </c>
      <c r="B19" s="3">
        <v>8.3056479692459106E-2</v>
      </c>
      <c r="C19">
        <v>-690.07351219403654</v>
      </c>
      <c r="D19">
        <v>-229.02507521531101</v>
      </c>
    </row>
    <row r="20" spans="1:4" x14ac:dyDescent="0.45">
      <c r="A20" s="2">
        <v>44013</v>
      </c>
      <c r="B20" s="3">
        <v>2.2503262385725975E-2</v>
      </c>
      <c r="C20">
        <v>-563.10497885185828</v>
      </c>
      <c r="D20">
        <v>-190.24934903534501</v>
      </c>
    </row>
    <row r="21" spans="1:4" x14ac:dyDescent="0.45">
      <c r="A21" s="2">
        <v>44044</v>
      </c>
      <c r="B21" s="3">
        <v>4.8978138715028763E-2</v>
      </c>
      <c r="C21">
        <v>-410.59069593258067</v>
      </c>
      <c r="D21">
        <v>-132.20529888871741</v>
      </c>
    </row>
    <row r="22" spans="1:4" x14ac:dyDescent="0.45">
      <c r="A22" s="2">
        <v>44075</v>
      </c>
      <c r="B22" s="3">
        <v>1.3443269766867161E-2</v>
      </c>
      <c r="C22">
        <v>-303.4878330627497</v>
      </c>
      <c r="D22">
        <v>-99.473091052631588</v>
      </c>
    </row>
    <row r="23" spans="1:4" x14ac:dyDescent="0.45">
      <c r="A23" s="2">
        <v>44105</v>
      </c>
      <c r="B23" s="3">
        <v>3.3745307475328445E-2</v>
      </c>
      <c r="C23">
        <v>-119.69220559390649</v>
      </c>
      <c r="D23">
        <v>-37.833675964912267</v>
      </c>
    </row>
    <row r="24" spans="1:4" x14ac:dyDescent="0.45">
      <c r="A24" s="2">
        <v>44136</v>
      </c>
      <c r="B24" s="3">
        <v>4.1297663003206253E-2</v>
      </c>
      <c r="C24">
        <v>-163.31873431345679</v>
      </c>
      <c r="D24">
        <v>-53.8063036523126</v>
      </c>
    </row>
    <row r="25" spans="1:4" x14ac:dyDescent="0.45">
      <c r="A25" s="2">
        <v>44166</v>
      </c>
      <c r="B25" s="3">
        <v>2.8328612446784973E-2</v>
      </c>
      <c r="C25">
        <v>-201.16150065809509</v>
      </c>
      <c r="D25">
        <v>-64.870331671554254</v>
      </c>
    </row>
    <row r="26" spans="1:4" x14ac:dyDescent="0.45">
      <c r="A26" s="2">
        <v>44197</v>
      </c>
      <c r="B26" s="3">
        <v>0.10505161434412003</v>
      </c>
      <c r="C26">
        <v>-318.76919490045782</v>
      </c>
      <c r="D26">
        <v>-107.1482677728044</v>
      </c>
    </row>
    <row r="27" spans="1:4" x14ac:dyDescent="0.45">
      <c r="A27" s="2">
        <v>44228</v>
      </c>
      <c r="B27" s="3">
        <v>3.0021015554666519E-2</v>
      </c>
      <c r="C27">
        <v>-216.93554419017909</v>
      </c>
      <c r="D27">
        <v>-71.671927238550921</v>
      </c>
    </row>
    <row r="28" spans="1:4" x14ac:dyDescent="0.45">
      <c r="A28" s="2">
        <v>44256</v>
      </c>
      <c r="B28" s="3">
        <v>4.5257061719894409E-2</v>
      </c>
      <c r="C28">
        <v>-448.37530521203081</v>
      </c>
      <c r="D28">
        <v>-148.25738433400221</v>
      </c>
    </row>
    <row r="29" spans="1:4" x14ac:dyDescent="0.45">
      <c r="A29" s="2">
        <v>44287</v>
      </c>
      <c r="B29" s="3">
        <v>6.2671743333339691E-2</v>
      </c>
      <c r="C29">
        <v>-387.67552539040253</v>
      </c>
      <c r="D29">
        <v>-124.94509531100481</v>
      </c>
    </row>
    <row r="30" spans="1:4" x14ac:dyDescent="0.45">
      <c r="A30" s="2">
        <v>44317</v>
      </c>
      <c r="B30" s="3">
        <v>4.2275354266166687E-2</v>
      </c>
      <c r="C30">
        <v>-280.5121414373366</v>
      </c>
      <c r="D30">
        <v>-95.89498365488501</v>
      </c>
    </row>
    <row r="31" spans="1:4" x14ac:dyDescent="0.45">
      <c r="A31" s="2">
        <v>44348</v>
      </c>
      <c r="B31" s="3">
        <v>3.8552358746528625E-2</v>
      </c>
      <c r="C31">
        <v>-223.36564306768179</v>
      </c>
      <c r="D31">
        <v>-74.197699808612441</v>
      </c>
    </row>
    <row r="32" spans="1:4" x14ac:dyDescent="0.45">
      <c r="A32" s="2">
        <v>44378</v>
      </c>
      <c r="B32" s="3">
        <v>1.392822340130806E-2</v>
      </c>
      <c r="C32">
        <v>-205.94115796132621</v>
      </c>
      <c r="D32">
        <v>-71.396256922364557</v>
      </c>
    </row>
    <row r="33" spans="1:6" x14ac:dyDescent="0.45">
      <c r="A33" s="2">
        <v>44409</v>
      </c>
      <c r="B33" s="3">
        <v>2.0002000033855438E-2</v>
      </c>
      <c r="C33">
        <v>-139.5457327709702</v>
      </c>
      <c r="D33">
        <v>-47.343282991202351</v>
      </c>
    </row>
    <row r="34" spans="1:6" x14ac:dyDescent="0.45">
      <c r="A34" s="2">
        <v>44440</v>
      </c>
      <c r="B34" s="3">
        <v>9.6357680857181549E-2</v>
      </c>
      <c r="C34">
        <v>-184.6032515075303</v>
      </c>
      <c r="D34">
        <v>-65.403201594896331</v>
      </c>
    </row>
    <row r="35" spans="1:6" x14ac:dyDescent="0.45">
      <c r="A35" s="2">
        <v>44470</v>
      </c>
      <c r="B35" s="3">
        <v>9.2157404869794846E-3</v>
      </c>
      <c r="C35">
        <v>-251.36153845824421</v>
      </c>
      <c r="D35">
        <v>-88.011974996141376</v>
      </c>
    </row>
    <row r="36" spans="1:6" x14ac:dyDescent="0.45">
      <c r="A36" s="2">
        <v>44501</v>
      </c>
      <c r="B36" s="3">
        <v>4.8756701871752739E-3</v>
      </c>
      <c r="C36">
        <v>-121.3186319035797</v>
      </c>
      <c r="D36">
        <v>-38.996083125996812</v>
      </c>
    </row>
    <row r="37" spans="1:6" x14ac:dyDescent="0.45">
      <c r="A37" s="2">
        <v>44531</v>
      </c>
      <c r="B37" s="3">
        <v>1.5223016962409019E-2</v>
      </c>
      <c r="C37">
        <v>-102.93067648513571</v>
      </c>
      <c r="D37">
        <v>-33.281921469362551</v>
      </c>
    </row>
    <row r="38" spans="1:6" x14ac:dyDescent="0.45">
      <c r="A38" s="2">
        <v>44562</v>
      </c>
      <c r="B38" s="3">
        <v>0.12517525255680084</v>
      </c>
      <c r="C38">
        <v>-122.1858964282014</v>
      </c>
      <c r="D38">
        <v>-37.286629942892432</v>
      </c>
    </row>
    <row r="39" spans="1:6" x14ac:dyDescent="0.45">
      <c r="A39" s="2">
        <v>44593</v>
      </c>
      <c r="B39" s="3">
        <v>0.19257794320583344</v>
      </c>
      <c r="C39">
        <v>-176.00307881447031</v>
      </c>
      <c r="D39">
        <v>-56.128475649350648</v>
      </c>
    </row>
    <row r="40" spans="1:6" x14ac:dyDescent="0.45">
      <c r="A40" s="2">
        <v>44621</v>
      </c>
      <c r="B40" s="3">
        <v>0.13448894023895264</v>
      </c>
      <c r="C40">
        <v>-110.51728926588569</v>
      </c>
      <c r="D40">
        <v>-41.520417394659667</v>
      </c>
    </row>
    <row r="41" spans="1:6" x14ac:dyDescent="0.45">
      <c r="A41" s="2">
        <v>44652</v>
      </c>
      <c r="B41" s="3">
        <v>9.6881620585918427E-2</v>
      </c>
      <c r="C41">
        <v>-94.478714315577975</v>
      </c>
      <c r="D41">
        <v>-35.196363620414672</v>
      </c>
    </row>
    <row r="42" spans="1:6" x14ac:dyDescent="0.45">
      <c r="A42" s="2">
        <v>44682</v>
      </c>
      <c r="B42" s="3">
        <v>3.2552082091569901E-2</v>
      </c>
      <c r="C42">
        <v>-118.66302682733451</v>
      </c>
      <c r="D42">
        <v>-41.988600733652312</v>
      </c>
    </row>
    <row r="43" spans="1:6" x14ac:dyDescent="0.45">
      <c r="F43">
        <f>CORREL(B2:B42,D2:D42)</f>
        <v>-0.25960135310142335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2AFD-5C9A-4161-84FD-A345FB640DBF}">
  <dimension ref="A1:F42"/>
  <sheetViews>
    <sheetView tabSelected="1" workbookViewId="0">
      <selection activeCell="F3" sqref="F3"/>
    </sheetView>
  </sheetViews>
  <sheetFormatPr defaultRowHeight="14.25" x14ac:dyDescent="0.45"/>
  <sheetData>
    <row r="1" spans="1:6" x14ac:dyDescent="0.45">
      <c r="A1" t="s">
        <v>2</v>
      </c>
      <c r="B1" t="s">
        <v>4</v>
      </c>
      <c r="C1" s="1" t="s">
        <v>5</v>
      </c>
      <c r="D1" s="1" t="s">
        <v>6</v>
      </c>
    </row>
    <row r="2" spans="1:6" x14ac:dyDescent="0.45">
      <c r="A2" s="2">
        <v>43466</v>
      </c>
      <c r="B2" s="3">
        <f>-Sheet2!B2</f>
        <v>-0.18274542689323425</v>
      </c>
      <c r="C2">
        <f>STANDARDIZE(Sheet2!C2,AVERAGE(Sheet2!C$2:C$42),STDEV(Sheet2!C$2:C$42))</f>
        <v>-2.0830871071346744</v>
      </c>
      <c r="D2">
        <f>STANDARDIZE(Sheet2!D2,AVERAGE(Sheet2!D$2:D$42),STDEV(Sheet2!D$2:D$42))</f>
        <v>-1.9589808342243487</v>
      </c>
      <c r="F2">
        <f>CORREL(B2:B42,D2:D42)</f>
        <v>0.25960135310142329</v>
      </c>
    </row>
    <row r="3" spans="1:6" x14ac:dyDescent="0.45">
      <c r="A3" s="2">
        <v>43497</v>
      </c>
      <c r="B3" s="3">
        <f>-Sheet2!B3</f>
        <v>-0.20772354304790497</v>
      </c>
      <c r="C3">
        <f>STANDARDIZE(Sheet2!C3,AVERAGE(Sheet2!C$2:C$42),STDEV(Sheet2!C$2:C$42))</f>
        <v>-0.60475920374626091</v>
      </c>
      <c r="D3">
        <f>STANDARDIZE(Sheet2!D3,AVERAGE(Sheet2!D$2:D$42),STDEV(Sheet2!D$2:D$42))</f>
        <v>-0.70241123890464485</v>
      </c>
    </row>
    <row r="4" spans="1:6" x14ac:dyDescent="0.45">
      <c r="A4" s="2">
        <v>43525</v>
      </c>
      <c r="B4" s="3">
        <f>-Sheet2!B4</f>
        <v>-0.11262200772762299</v>
      </c>
      <c r="C4">
        <f>STANDARDIZE(Sheet2!C4,AVERAGE(Sheet2!C$2:C$42),STDEV(Sheet2!C$2:C$42))</f>
        <v>-0.56138157342605333</v>
      </c>
      <c r="D4">
        <f>STANDARDIZE(Sheet2!D4,AVERAGE(Sheet2!D$2:D$42),STDEV(Sheet2!D$2:D$42))</f>
        <v>-0.72405086651595751</v>
      </c>
    </row>
    <row r="5" spans="1:6" x14ac:dyDescent="0.45">
      <c r="A5" s="2">
        <v>43556</v>
      </c>
      <c r="B5" s="3">
        <f>-Sheet2!B5</f>
        <v>-3.1336735934019089E-2</v>
      </c>
      <c r="C5">
        <f>STANDARDIZE(Sheet2!C5,AVERAGE(Sheet2!C$2:C$42),STDEV(Sheet2!C$2:C$42))</f>
        <v>7.4781479187079919E-2</v>
      </c>
      <c r="D5">
        <f>STANDARDIZE(Sheet2!D5,AVERAGE(Sheet2!D$2:D$42),STDEV(Sheet2!D$2:D$42))</f>
        <v>-0.12403512818132086</v>
      </c>
    </row>
    <row r="6" spans="1:6" x14ac:dyDescent="0.45">
      <c r="A6" s="2">
        <v>43586</v>
      </c>
      <c r="B6" s="3">
        <f>-Sheet2!B6</f>
        <v>-0.11175104975700378</v>
      </c>
      <c r="C6">
        <f>STANDARDIZE(Sheet2!C6,AVERAGE(Sheet2!C$2:C$42),STDEV(Sheet2!C$2:C$42))</f>
        <v>-0.46529645900969807</v>
      </c>
      <c r="D6">
        <f>STANDARDIZE(Sheet2!D6,AVERAGE(Sheet2!D$2:D$42),STDEV(Sheet2!D$2:D$42))</f>
        <v>-0.59372438518783521</v>
      </c>
    </row>
    <row r="7" spans="1:6" x14ac:dyDescent="0.45">
      <c r="A7" s="2">
        <v>43617</v>
      </c>
      <c r="B7" s="3">
        <f>-Sheet2!B7</f>
        <v>-3.4515488892793655E-2</v>
      </c>
      <c r="C7">
        <f>STANDARDIZE(Sheet2!C7,AVERAGE(Sheet2!C$2:C$42),STDEV(Sheet2!C$2:C$42))</f>
        <v>0.33395019815868049</v>
      </c>
      <c r="D7">
        <f>STANDARDIZE(Sheet2!D7,AVERAGE(Sheet2!D$2:D$42),STDEV(Sheet2!D$2:D$42))</f>
        <v>0.14358065521683394</v>
      </c>
    </row>
    <row r="8" spans="1:6" x14ac:dyDescent="0.45">
      <c r="A8" s="2">
        <v>43647</v>
      </c>
      <c r="B8" s="3">
        <f>-Sheet2!B8</f>
        <v>-3.0970711261034012E-2</v>
      </c>
      <c r="C8">
        <f>STANDARDIZE(Sheet2!C8,AVERAGE(Sheet2!C$2:C$42),STDEV(Sheet2!C$2:C$42))</f>
        <v>-0.35690552502892753</v>
      </c>
      <c r="D8">
        <f>STANDARDIZE(Sheet2!D8,AVERAGE(Sheet2!D$2:D$42),STDEV(Sheet2!D$2:D$42))</f>
        <v>-0.40908006745833586</v>
      </c>
    </row>
    <row r="9" spans="1:6" x14ac:dyDescent="0.45">
      <c r="A9" s="2">
        <v>43678</v>
      </c>
      <c r="B9" s="3">
        <f>-Sheet2!B9</f>
        <v>-0.13273161649703979</v>
      </c>
      <c r="C9">
        <f>STANDARDIZE(Sheet2!C9,AVERAGE(Sheet2!C$2:C$42),STDEV(Sheet2!C$2:C$42))</f>
        <v>-2.327951359538067</v>
      </c>
      <c r="D9">
        <f>STANDARDIZE(Sheet2!D9,AVERAGE(Sheet2!D$2:D$42),STDEV(Sheet2!D$2:D$42))</f>
        <v>-3.0107068855698746</v>
      </c>
    </row>
    <row r="10" spans="1:6" x14ac:dyDescent="0.45">
      <c r="A10" s="2">
        <v>43709</v>
      </c>
      <c r="B10" s="3">
        <f>-Sheet2!B10</f>
        <v>-3.5431154072284698E-2</v>
      </c>
      <c r="C10">
        <f>STANDARDIZE(Sheet2!C10,AVERAGE(Sheet2!C$2:C$42),STDEV(Sheet2!C$2:C$42))</f>
        <v>-6.0368363920334761E-2</v>
      </c>
      <c r="D10">
        <f>STANDARDIZE(Sheet2!D10,AVERAGE(Sheet2!D$2:D$42),STDEV(Sheet2!D$2:D$42))</f>
        <v>-0.22282396342865449</v>
      </c>
    </row>
    <row r="11" spans="1:6" x14ac:dyDescent="0.45">
      <c r="A11" s="2">
        <v>43739</v>
      </c>
      <c r="B11" s="3">
        <f>-Sheet2!B11</f>
        <v>-0.13032875955104828</v>
      </c>
      <c r="C11">
        <f>STANDARDIZE(Sheet2!C11,AVERAGE(Sheet2!C$2:C$42),STDEV(Sheet2!C$2:C$42))</f>
        <v>0.63800434367712155</v>
      </c>
      <c r="D11">
        <f>STANDARDIZE(Sheet2!D11,AVERAGE(Sheet2!D$2:D$42),STDEV(Sheet2!D$2:D$42))</f>
        <v>0.50934203221980268</v>
      </c>
    </row>
    <row r="12" spans="1:6" x14ac:dyDescent="0.45">
      <c r="A12" s="2">
        <v>43770</v>
      </c>
      <c r="B12" s="3">
        <f>-Sheet2!B12</f>
        <v>-8.8028170168399811E-2</v>
      </c>
      <c r="C12">
        <f>STANDARDIZE(Sheet2!C12,AVERAGE(Sheet2!C$2:C$42),STDEV(Sheet2!C$2:C$42))</f>
        <v>7.3578137287700823E-2</v>
      </c>
      <c r="D12">
        <f>STANDARDIZE(Sheet2!D12,AVERAGE(Sheet2!D$2:D$42),STDEV(Sheet2!D$2:D$42))</f>
        <v>-0.14697643675873009</v>
      </c>
    </row>
    <row r="13" spans="1:6" x14ac:dyDescent="0.45">
      <c r="A13" s="2">
        <v>43800</v>
      </c>
      <c r="B13" s="3">
        <f>-Sheet2!B13</f>
        <v>-9.7077950835227966E-2</v>
      </c>
      <c r="C13">
        <f>STANDARDIZE(Sheet2!C13,AVERAGE(Sheet2!C$2:C$42),STDEV(Sheet2!C$2:C$42))</f>
        <v>0.48962414919429748</v>
      </c>
      <c r="D13">
        <f>STANDARDIZE(Sheet2!D13,AVERAGE(Sheet2!D$2:D$42),STDEV(Sheet2!D$2:D$42))</f>
        <v>0.32205374339125409</v>
      </c>
    </row>
    <row r="14" spans="1:6" x14ac:dyDescent="0.45">
      <c r="A14" s="2">
        <v>43831</v>
      </c>
      <c r="B14" s="3">
        <f>-Sheet2!B14</f>
        <v>-5.2945069968700409E-2</v>
      </c>
      <c r="C14">
        <f>STANDARDIZE(Sheet2!C14,AVERAGE(Sheet2!C$2:C$42),STDEV(Sheet2!C$2:C$42))</f>
        <v>0.34830965169879186</v>
      </c>
      <c r="D14">
        <f>STANDARDIZE(Sheet2!D14,AVERAGE(Sheet2!D$2:D$42),STDEV(Sheet2!D$2:D$42))</f>
        <v>0.24001761664585869</v>
      </c>
    </row>
    <row r="15" spans="1:6" x14ac:dyDescent="0.45">
      <c r="A15" s="2">
        <v>43862</v>
      </c>
      <c r="B15" s="3">
        <f>-Sheet2!B15</f>
        <v>-3.1208204105496407E-2</v>
      </c>
      <c r="C15">
        <f>STANDARDIZE(Sheet2!C15,AVERAGE(Sheet2!C$2:C$42),STDEV(Sheet2!C$2:C$42))</f>
        <v>0.5488101730200895</v>
      </c>
      <c r="D15">
        <f>STANDARDIZE(Sheet2!D15,AVERAGE(Sheet2!D$2:D$42),STDEV(Sheet2!D$2:D$42))</f>
        <v>0.45161753117623948</v>
      </c>
    </row>
    <row r="16" spans="1:6" x14ac:dyDescent="0.45">
      <c r="A16" s="2">
        <v>43891</v>
      </c>
      <c r="B16" s="3">
        <f>-Sheet2!B16</f>
        <v>-7.2686851024627686E-2</v>
      </c>
      <c r="C16">
        <f>STANDARDIZE(Sheet2!C16,AVERAGE(Sheet2!C$2:C$42),STDEV(Sheet2!C$2:C$42))</f>
        <v>-0.56094637447268181</v>
      </c>
      <c r="D16">
        <f>STANDARDIZE(Sheet2!D16,AVERAGE(Sheet2!D$2:D$42),STDEV(Sheet2!D$2:D$42))</f>
        <v>-0.68850965220629934</v>
      </c>
    </row>
    <row r="17" spans="1:4" x14ac:dyDescent="0.45">
      <c r="A17" s="2">
        <v>43922</v>
      </c>
      <c r="B17" s="3">
        <f>-Sheet2!B17</f>
        <v>-8.8203892111778259E-2</v>
      </c>
      <c r="C17">
        <f>STANDARDIZE(Sheet2!C17,AVERAGE(Sheet2!C$2:C$42),STDEV(Sheet2!C$2:C$42))</f>
        <v>-0.66709054514516353</v>
      </c>
      <c r="D17">
        <f>STANDARDIZE(Sheet2!D17,AVERAGE(Sheet2!D$2:D$42),STDEV(Sheet2!D$2:D$42))</f>
        <v>-0.61826175258948035</v>
      </c>
    </row>
    <row r="18" spans="1:4" x14ac:dyDescent="0.45">
      <c r="A18" s="2">
        <v>43952</v>
      </c>
      <c r="B18" s="3">
        <f>-Sheet2!B18</f>
        <v>-3.6049026995897293E-2</v>
      </c>
      <c r="C18">
        <f>STANDARDIZE(Sheet2!C18,AVERAGE(Sheet2!C$2:C$42),STDEV(Sheet2!C$2:C$42))</f>
        <v>-2.3866201256590891</v>
      </c>
      <c r="D18">
        <f>STANDARDIZE(Sheet2!D18,AVERAGE(Sheet2!D$2:D$42),STDEV(Sheet2!D$2:D$42))</f>
        <v>-2.1670005947378974</v>
      </c>
    </row>
    <row r="19" spans="1:4" x14ac:dyDescent="0.45">
      <c r="A19" s="2">
        <v>43983</v>
      </c>
      <c r="B19" s="3">
        <f>-Sheet2!B19</f>
        <v>-8.3056479692459106E-2</v>
      </c>
      <c r="C19">
        <f>STANDARDIZE(Sheet2!C19,AVERAGE(Sheet2!C$2:C$42),STDEV(Sheet2!C$2:C$42))</f>
        <v>-2.2893369142855162</v>
      </c>
      <c r="D19">
        <f>STANDARDIZE(Sheet2!D19,AVERAGE(Sheet2!D$2:D$42),STDEV(Sheet2!D$2:D$42))</f>
        <v>-1.9288679093506962</v>
      </c>
    </row>
    <row r="20" spans="1:4" x14ac:dyDescent="0.45">
      <c r="A20" s="2">
        <v>44013</v>
      </c>
      <c r="B20" s="3">
        <f>-Sheet2!B20</f>
        <v>-2.2503262385725975E-2</v>
      </c>
      <c r="C20">
        <f>STANDARDIZE(Sheet2!C20,AVERAGE(Sheet2!C$2:C$42),STDEV(Sheet2!C$2:C$42))</f>
        <v>-1.5410696331677274</v>
      </c>
      <c r="D20">
        <f>STANDARDIZE(Sheet2!D20,AVERAGE(Sheet2!D$2:D$42),STDEV(Sheet2!D$2:D$42))</f>
        <v>-1.3103864418073388</v>
      </c>
    </row>
    <row r="21" spans="1:4" x14ac:dyDescent="0.45">
      <c r="A21" s="2">
        <v>44044</v>
      </c>
      <c r="B21" s="3">
        <f>-Sheet2!B21</f>
        <v>-4.8978138715028763E-2</v>
      </c>
      <c r="C21">
        <f>STANDARDIZE(Sheet2!C21,AVERAGE(Sheet2!C$2:C$42),STDEV(Sheet2!C$2:C$42))</f>
        <v>-0.64225285701357937</v>
      </c>
      <c r="D21">
        <f>STANDARDIZE(Sheet2!D21,AVERAGE(Sheet2!D$2:D$42),STDEV(Sheet2!D$2:D$42))</f>
        <v>-0.38457091612946626</v>
      </c>
    </row>
    <row r="22" spans="1:4" x14ac:dyDescent="0.45">
      <c r="A22" s="2">
        <v>44075</v>
      </c>
      <c r="B22" s="3">
        <f>-Sheet2!B22</f>
        <v>-1.3443269766867161E-2</v>
      </c>
      <c r="C22">
        <f>STANDARDIZE(Sheet2!C22,AVERAGE(Sheet2!C$2:C$42),STDEV(Sheet2!C$2:C$42))</f>
        <v>-1.1060498639559978E-2</v>
      </c>
      <c r="D22">
        <f>STANDARDIZE(Sheet2!D22,AVERAGE(Sheet2!D$2:D$42),STDEV(Sheet2!D$2:D$42))</f>
        <v>0.13751508799689902</v>
      </c>
    </row>
    <row r="23" spans="1:4" x14ac:dyDescent="0.45">
      <c r="A23" s="2">
        <v>44105</v>
      </c>
      <c r="B23" s="3">
        <f>-Sheet2!B23</f>
        <v>-3.3745307475328445E-2</v>
      </c>
      <c r="C23">
        <f>STANDARDIZE(Sheet2!C23,AVERAGE(Sheet2!C$2:C$42),STDEV(Sheet2!C$2:C$42))</f>
        <v>1.0721075180911113</v>
      </c>
      <c r="D23">
        <f>STANDARDIZE(Sheet2!D23,AVERAGE(Sheet2!D$2:D$42),STDEV(Sheet2!D$2:D$42))</f>
        <v>1.1206774851376002</v>
      </c>
    </row>
    <row r="24" spans="1:4" x14ac:dyDescent="0.45">
      <c r="A24" s="2">
        <v>44136</v>
      </c>
      <c r="B24" s="3">
        <f>-Sheet2!B24</f>
        <v>-4.1297663003206253E-2</v>
      </c>
      <c r="C24">
        <f>STANDARDIZE(Sheet2!C24,AVERAGE(Sheet2!C$2:C$42),STDEV(Sheet2!C$2:C$42))</f>
        <v>0.81500205132471848</v>
      </c>
      <c r="D24">
        <f>STANDARDIZE(Sheet2!D24,AVERAGE(Sheet2!D$2:D$42),STDEV(Sheet2!D$2:D$42))</f>
        <v>0.86591051657645357</v>
      </c>
    </row>
    <row r="25" spans="1:4" x14ac:dyDescent="0.45">
      <c r="A25" s="2">
        <v>44166</v>
      </c>
      <c r="B25" s="3">
        <f>-Sheet2!B25</f>
        <v>-2.8328612446784973E-2</v>
      </c>
      <c r="C25">
        <f>STANDARDIZE(Sheet2!C25,AVERAGE(Sheet2!C$2:C$42),STDEV(Sheet2!C$2:C$42))</f>
        <v>0.59198219642597971</v>
      </c>
      <c r="D25">
        <f>STANDARDIZE(Sheet2!D25,AVERAGE(Sheet2!D$2:D$42),STDEV(Sheet2!D$2:D$42))</f>
        <v>0.68943680581931299</v>
      </c>
    </row>
    <row r="26" spans="1:4" x14ac:dyDescent="0.45">
      <c r="A26" s="2">
        <v>44197</v>
      </c>
      <c r="B26" s="3">
        <f>-Sheet2!B26</f>
        <v>-0.10505161434412003</v>
      </c>
      <c r="C26">
        <f>STANDARDIZE(Sheet2!C26,AVERAGE(Sheet2!C$2:C$42),STDEV(Sheet2!C$2:C$42))</f>
        <v>-0.1011185844745997</v>
      </c>
      <c r="D26">
        <f>STANDARDIZE(Sheet2!D26,AVERAGE(Sheet2!D$2:D$42),STDEV(Sheet2!D$2:D$42))</f>
        <v>1.5094310123764753E-2</v>
      </c>
    </row>
    <row r="27" spans="1:4" x14ac:dyDescent="0.45">
      <c r="A27" s="2">
        <v>44228</v>
      </c>
      <c r="B27" s="3">
        <f>-Sheet2!B27</f>
        <v>-3.0021015554666519E-2</v>
      </c>
      <c r="C27">
        <f>STANDARDIZE(Sheet2!C27,AVERAGE(Sheet2!C$2:C$42),STDEV(Sheet2!C$2:C$42))</f>
        <v>0.4990205755007644</v>
      </c>
      <c r="D27">
        <f>STANDARDIZE(Sheet2!D27,AVERAGE(Sheet2!D$2:D$42),STDEV(Sheet2!D$2:D$42))</f>
        <v>0.58094984187727028</v>
      </c>
    </row>
    <row r="28" spans="1:4" x14ac:dyDescent="0.45">
      <c r="A28" s="2">
        <v>44256</v>
      </c>
      <c r="B28" s="3">
        <f>-Sheet2!B28</f>
        <v>-4.5257061719894409E-2</v>
      </c>
      <c r="C28">
        <f>STANDARDIZE(Sheet2!C28,AVERAGE(Sheet2!C$2:C$42),STDEV(Sheet2!C$2:C$42))</f>
        <v>-0.8649299732202923</v>
      </c>
      <c r="D28">
        <f>STANDARDIZE(Sheet2!D28,AVERAGE(Sheet2!D$2:D$42),STDEV(Sheet2!D$2:D$42))</f>
        <v>-0.64060525362333132</v>
      </c>
    </row>
    <row r="29" spans="1:4" x14ac:dyDescent="0.45">
      <c r="A29" s="2">
        <v>44287</v>
      </c>
      <c r="B29" s="3">
        <f>-Sheet2!B29</f>
        <v>-6.2671743333339691E-2</v>
      </c>
      <c r="C29">
        <f>STANDARDIZE(Sheet2!C29,AVERAGE(Sheet2!C$2:C$42),STDEV(Sheet2!C$2:C$42))</f>
        <v>-0.50720622847817631</v>
      </c>
      <c r="D29">
        <f>STANDARDIZE(Sheet2!D29,AVERAGE(Sheet2!D$2:D$42),STDEV(Sheet2!D$2:D$42))</f>
        <v>-0.26876905228901038</v>
      </c>
    </row>
    <row r="30" spans="1:4" x14ac:dyDescent="0.45">
      <c r="A30" s="2">
        <v>44317</v>
      </c>
      <c r="B30" s="3">
        <f>-Sheet2!B30</f>
        <v>-4.2275354266166687E-2</v>
      </c>
      <c r="C30">
        <f>STANDARDIZE(Sheet2!C30,AVERAGE(Sheet2!C$2:C$42),STDEV(Sheet2!C$2:C$42))</f>
        <v>0.12434280052289119</v>
      </c>
      <c r="D30">
        <f>STANDARDIZE(Sheet2!D30,AVERAGE(Sheet2!D$2:D$42),STDEV(Sheet2!D$2:D$42))</f>
        <v>0.19458669780028728</v>
      </c>
    </row>
    <row r="31" spans="1:4" x14ac:dyDescent="0.45">
      <c r="A31" s="2">
        <v>44348</v>
      </c>
      <c r="B31" s="3">
        <f>-Sheet2!B31</f>
        <v>-3.8552358746528625E-2</v>
      </c>
      <c r="C31">
        <f>STANDARDIZE(Sheet2!C31,AVERAGE(Sheet2!C$2:C$42),STDEV(Sheet2!C$2:C$42))</f>
        <v>0.46112589027650686</v>
      </c>
      <c r="D31">
        <f>STANDARDIZE(Sheet2!D31,AVERAGE(Sheet2!D$2:D$42),STDEV(Sheet2!D$2:D$42))</f>
        <v>0.54066320692007619</v>
      </c>
    </row>
    <row r="32" spans="1:4" x14ac:dyDescent="0.45">
      <c r="A32" s="2">
        <v>44378</v>
      </c>
      <c r="B32" s="3">
        <f>-Sheet2!B32</f>
        <v>-1.392822340130806E-2</v>
      </c>
      <c r="C32">
        <f>STANDARDIZE(Sheet2!C32,AVERAGE(Sheet2!C$2:C$42),STDEV(Sheet2!C$2:C$42))</f>
        <v>0.56381410563355461</v>
      </c>
      <c r="D32">
        <f>STANDARDIZE(Sheet2!D32,AVERAGE(Sheet2!D$2:D$42),STDEV(Sheet2!D$2:D$42))</f>
        <v>0.58534684480951127</v>
      </c>
    </row>
    <row r="33" spans="1:4" x14ac:dyDescent="0.45">
      <c r="A33" s="2">
        <v>44409</v>
      </c>
      <c r="B33" s="3">
        <f>-Sheet2!B33</f>
        <v>-2.0002000033855438E-2</v>
      </c>
      <c r="C33">
        <f>STANDARDIZE(Sheet2!C33,AVERAGE(Sheet2!C$2:C$42),STDEV(Sheet2!C$2:C$42))</f>
        <v>0.9551041597759955</v>
      </c>
      <c r="D33">
        <f>STANDARDIZE(Sheet2!D33,AVERAGE(Sheet2!D$2:D$42),STDEV(Sheet2!D$2:D$42))</f>
        <v>0.96899713537230592</v>
      </c>
    </row>
    <row r="34" spans="1:4" x14ac:dyDescent="0.45">
      <c r="A34" s="2">
        <v>44440</v>
      </c>
      <c r="B34" s="3">
        <f>-Sheet2!B34</f>
        <v>-9.6357680857181549E-2</v>
      </c>
      <c r="C34">
        <f>STANDARDIZE(Sheet2!C34,AVERAGE(Sheet2!C$2:C$42),STDEV(Sheet2!C$2:C$42))</f>
        <v>0.68956539870313927</v>
      </c>
      <c r="D34">
        <f>STANDARDIZE(Sheet2!D34,AVERAGE(Sheet2!D$2:D$42),STDEV(Sheet2!D$2:D$42))</f>
        <v>0.68093741187711521</v>
      </c>
    </row>
    <row r="35" spans="1:4" x14ac:dyDescent="0.45">
      <c r="A35" s="2">
        <v>44470</v>
      </c>
      <c r="B35" s="3">
        <f>-Sheet2!B35</f>
        <v>-9.2157404869794846E-3</v>
      </c>
      <c r="C35">
        <f>STANDARDIZE(Sheet2!C35,AVERAGE(Sheet2!C$2:C$42),STDEV(Sheet2!C$2:C$42))</f>
        <v>0.2961368809926197</v>
      </c>
      <c r="D35">
        <f>STANDARDIZE(Sheet2!D35,AVERAGE(Sheet2!D$2:D$42),STDEV(Sheet2!D$2:D$42))</f>
        <v>0.32032244137575505</v>
      </c>
    </row>
    <row r="36" spans="1:4" x14ac:dyDescent="0.45">
      <c r="A36" s="2">
        <v>44501</v>
      </c>
      <c r="B36" s="3">
        <f>-Sheet2!B36</f>
        <v>-4.8756701871752739E-3</v>
      </c>
      <c r="C36">
        <f>STANDARDIZE(Sheet2!C36,AVERAGE(Sheet2!C$2:C$42),STDEV(Sheet2!C$2:C$42))</f>
        <v>1.0625224535035114</v>
      </c>
      <c r="D36">
        <f>STANDARDIZE(Sheet2!D36,AVERAGE(Sheet2!D$2:D$42),STDEV(Sheet2!D$2:D$42))</f>
        <v>1.1021368320616578</v>
      </c>
    </row>
    <row r="37" spans="1:4" x14ac:dyDescent="0.45">
      <c r="A37" s="2">
        <v>44531</v>
      </c>
      <c r="B37" s="3">
        <f>-Sheet2!B37</f>
        <v>-1.5223016962409019E-2</v>
      </c>
      <c r="C37">
        <f>STANDARDIZE(Sheet2!C37,AVERAGE(Sheet2!C$2:C$42),STDEV(Sheet2!C$2:C$42))</f>
        <v>1.1708887159474006</v>
      </c>
      <c r="D37">
        <f>STANDARDIZE(Sheet2!D37,AVERAGE(Sheet2!D$2:D$42),STDEV(Sheet2!D$2:D$42))</f>
        <v>1.1932789829725823</v>
      </c>
    </row>
    <row r="38" spans="1:4" x14ac:dyDescent="0.45">
      <c r="A38" s="2">
        <v>44562</v>
      </c>
      <c r="B38" s="3">
        <f>-Sheet2!B38</f>
        <v>-0.12517525255680084</v>
      </c>
      <c r="C38">
        <f>STANDARDIZE(Sheet2!C38,AVERAGE(Sheet2!C$2:C$42),STDEV(Sheet2!C$2:C$42))</f>
        <v>1.0574113787295774</v>
      </c>
      <c r="D38">
        <f>STANDARDIZE(Sheet2!D38,AVERAGE(Sheet2!D$2:D$42),STDEV(Sheet2!D$2:D$42))</f>
        <v>1.1294029910105858</v>
      </c>
    </row>
    <row r="39" spans="1:4" x14ac:dyDescent="0.45">
      <c r="A39" s="2">
        <v>44593</v>
      </c>
      <c r="B39" s="3">
        <f>-Sheet2!B39</f>
        <v>-0.19257794320583344</v>
      </c>
      <c r="C39">
        <f>STANDARDIZE(Sheet2!C39,AVERAGE(Sheet2!C$2:C$42),STDEV(Sheet2!C$2:C$42))</f>
        <v>0.74024904187665375</v>
      </c>
      <c r="D39">
        <f>STANDARDIZE(Sheet2!D39,AVERAGE(Sheet2!D$2:D$42),STDEV(Sheet2!D$2:D$42))</f>
        <v>0.82887135609882923</v>
      </c>
    </row>
    <row r="40" spans="1:4" x14ac:dyDescent="0.45">
      <c r="A40" s="2">
        <v>44621</v>
      </c>
      <c r="B40" s="3">
        <f>-Sheet2!B40</f>
        <v>-0.13448894023895264</v>
      </c>
      <c r="C40">
        <f>STANDARDIZE(Sheet2!C40,AVERAGE(Sheet2!C$2:C$42),STDEV(Sheet2!C$2:C$42))</f>
        <v>1.1261783143312274</v>
      </c>
      <c r="D40">
        <f>STANDARDIZE(Sheet2!D40,AVERAGE(Sheet2!D$2:D$42),STDEV(Sheet2!D$2:D$42))</f>
        <v>1.0618731383320681</v>
      </c>
    </row>
    <row r="41" spans="1:4" x14ac:dyDescent="0.45">
      <c r="A41" s="2">
        <v>44652</v>
      </c>
      <c r="B41" s="3">
        <f>-Sheet2!B41</f>
        <v>-9.6881620585918427E-2</v>
      </c>
      <c r="C41">
        <f>STANDARDIZE(Sheet2!C41,AVERAGE(Sheet2!C$2:C$42),STDEV(Sheet2!C$2:C$42))</f>
        <v>1.2206989058129589</v>
      </c>
      <c r="D41">
        <f>STANDARDIZE(Sheet2!D41,AVERAGE(Sheet2!D$2:D$42),STDEV(Sheet2!D$2:D$42))</f>
        <v>1.1627432043358605</v>
      </c>
    </row>
    <row r="42" spans="1:4" x14ac:dyDescent="0.45">
      <c r="A42" s="2">
        <v>44682</v>
      </c>
      <c r="B42" s="3">
        <f>-Sheet2!B42</f>
        <v>-3.2552082091569901E-2</v>
      </c>
      <c r="C42">
        <f>STANDARDIZE(Sheet2!C42,AVERAGE(Sheet2!C$2:C$42),STDEV(Sheet2!C$2:C$42))</f>
        <v>1.0781728066880234</v>
      </c>
      <c r="D42">
        <f>STANDARDIZE(Sheet2!D42,AVERAGE(Sheet2!D$2:D$42),STDEV(Sheet2!D$2:D$42))</f>
        <v>1.05440550981531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2022-06-30T10:44:39Z</dcterms:created>
  <dcterms:modified xsi:type="dcterms:W3CDTF">2022-07-01T08:09:27Z</dcterms:modified>
</cp:coreProperties>
</file>