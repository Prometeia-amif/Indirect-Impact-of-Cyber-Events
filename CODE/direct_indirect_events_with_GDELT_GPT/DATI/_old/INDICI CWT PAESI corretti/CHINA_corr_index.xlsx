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63AB2E2C-C274-4482-A256-7A2300CE2AEE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  <c r="G3" i="2" l="1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<sst xmlns="http://schemas.openxmlformats.org/spreadsheetml/2006/main" count="10" uniqueCount="7">
  <si>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</si>
  <si>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</si>
  <si>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GPRC_CHN</t>
  </si>
  <si>
    <t>CWT_ID_corr</t>
  </si>
  <si>
    <t xml:space="preserve"> - GPRC_CHN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</si>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</sst>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-1502.7378168672819</c:v>
                </c:pt>
                <c:pt idx="1">
                  <c:v>-919.17908969386269</c:v>
                </c:pt>
                <c:pt idx="2">
                  <c:v>-1078.2290008759339</c:v>
                </c:pt>
                <c:pt idx="3">
                  <c:v>-688.01241841491526</c:v>
                </c:pt>
                <c:pt idx="4">
                  <c:v>-708.02479225691707</c:v>
                </c:pt>
                <c:pt idx="5">
                  <c:v>-388.54424622802281</c:v>
                </c:pt>
                <c:pt idx="6">
                  <c:v>17.726654395563401</c:v>
                </c:pt>
                <c:pt idx="7">
                  <c:v>-1689.418187264024</c:v>
                </c:pt>
                <c:pt idx="8">
                  <c:v>-1356.266057490561</c:v>
                </c:pt>
                <c:pt idx="9">
                  <c:v>-1418.4384148931381</c:v>
                </c:pt>
                <c:pt idx="10">
                  <c:v>-1522.644188382048</c:v>
                </c:pt>
                <c:pt idx="11">
                  <c:v>-929.74069223172023</c:v>
                </c:pt>
                <c:pt idx="12">
                  <c:v>-2788.5626233696921</c:v>
                </c:pt>
                <c:pt idx="13">
                  <c:v>-5495.2690952960402</c:v>
                </c:pt>
                <c:pt idx="14">
                  <c:v>-3806.7807703298322</c:v>
                </c:pt>
                <c:pt idx="15">
                  <c:v>-3048.0940559752462</c:v>
                </c:pt>
                <c:pt idx="16">
                  <c:v>-2654.501064715495</c:v>
                </c:pt>
                <c:pt idx="17">
                  <c:v>-2414.0454592156689</c:v>
                </c:pt>
                <c:pt idx="18">
                  <c:v>-2375.815164121896</c:v>
                </c:pt>
                <c:pt idx="19">
                  <c:v>-1314.0033943538119</c:v>
                </c:pt>
                <c:pt idx="20">
                  <c:v>-1193.5267378463259</c:v>
                </c:pt>
                <c:pt idx="21">
                  <c:v>-494.64758892730691</c:v>
                </c:pt>
                <c:pt idx="22">
                  <c:v>-332.20671902009911</c:v>
                </c:pt>
                <c:pt idx="23">
                  <c:v>-984.37551498808182</c:v>
                </c:pt>
                <c:pt idx="24">
                  <c:v>-1216.9781320634911</c:v>
                </c:pt>
                <c:pt idx="25">
                  <c:v>-899.42237827209738</c:v>
                </c:pt>
                <c:pt idx="26">
                  <c:v>-1337.5139474495661</c:v>
                </c:pt>
                <c:pt idx="27">
                  <c:v>-794.41745671661181</c:v>
                </c:pt>
                <c:pt idx="28">
                  <c:v>-703.61372402385712</c:v>
                </c:pt>
                <c:pt idx="29">
                  <c:v>-706.39708045820544</c:v>
                </c:pt>
                <c:pt idx="30">
                  <c:v>-729.23712097176542</c:v>
                </c:pt>
                <c:pt idx="31">
                  <c:v>-739.52657891779154</c:v>
                </c:pt>
                <c:pt idx="32">
                  <c:v>-649.42060320065275</c:v>
                </c:pt>
                <c:pt idx="33">
                  <c:v>-401.02995598882382</c:v>
                </c:pt>
                <c:pt idx="34">
                  <c:v>-281.10479045218318</c:v>
                </c:pt>
                <c:pt idx="35">
                  <c:v>-443.49082526218331</c:v>
                </c:pt>
                <c:pt idx="36">
                  <c:v>-408.26984674693989</c:v>
                </c:pt>
                <c:pt idx="37">
                  <c:v>-605.56574461073058</c:v>
                </c:pt>
                <c:pt idx="38">
                  <c:v>-1150.835084805195</c:v>
                </c:pt>
                <c:pt idx="39">
                  <c:v>-859.55249528830768</c:v>
                </c:pt>
                <c:pt idx="40">
                  <c:v>-684.63341512434897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9-4535-8628-9FB387DC1D1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-609.27462248331472</c:v>
                </c:pt>
                <c:pt idx="1">
                  <c:v>-367.93081911945808</c:v>
                </c:pt>
                <c:pt idx="2">
                  <c:v>-393.93326669911011</c:v>
                </c:pt>
                <c:pt idx="3">
                  <c:v>-242.05871610632181</c:v>
                </c:pt>
                <c:pt idx="4">
                  <c:v>-374.19707480533918</c:v>
                </c:pt>
                <c:pt idx="5">
                  <c:v>-185.58839363505751</c:v>
                </c:pt>
                <c:pt idx="6">
                  <c:v>9.8342742352613968</c:v>
                </c:pt>
                <c:pt idx="7">
                  <c:v>-783.26190205784201</c:v>
                </c:pt>
                <c:pt idx="8">
                  <c:v>-562.68578031609206</c:v>
                </c:pt>
                <c:pt idx="9">
                  <c:v>-561.86367500000006</c:v>
                </c:pt>
                <c:pt idx="10">
                  <c:v>-599.67126018678164</c:v>
                </c:pt>
                <c:pt idx="11">
                  <c:v>-358.23904041991102</c:v>
                </c:pt>
                <c:pt idx="12">
                  <c:v>-851.68738356507231</c:v>
                </c:pt>
                <c:pt idx="13">
                  <c:v>-1741.4113976961951</c:v>
                </c:pt>
                <c:pt idx="14">
                  <c:v>-1274.2766572441601</c:v>
                </c:pt>
                <c:pt idx="15">
                  <c:v>-1046.3810148132179</c:v>
                </c:pt>
                <c:pt idx="16">
                  <c:v>-996.87564651001117</c:v>
                </c:pt>
                <c:pt idx="17">
                  <c:v>-872.60148623563214</c:v>
                </c:pt>
                <c:pt idx="18">
                  <c:v>-908.00525610400439</c:v>
                </c:pt>
                <c:pt idx="19">
                  <c:v>-504.51541281979968</c:v>
                </c:pt>
                <c:pt idx="20">
                  <c:v>-443.33357708333341</c:v>
                </c:pt>
                <c:pt idx="21">
                  <c:v>-178.9205557471264</c:v>
                </c:pt>
                <c:pt idx="22">
                  <c:v>-112.199047112069</c:v>
                </c:pt>
                <c:pt idx="23">
                  <c:v>-369.72860691045611</c:v>
                </c:pt>
                <c:pt idx="24">
                  <c:v>-446.41994671857623</c:v>
                </c:pt>
                <c:pt idx="25">
                  <c:v>-332.55831488608368</c:v>
                </c:pt>
                <c:pt idx="26">
                  <c:v>-486.66919128197998</c:v>
                </c:pt>
                <c:pt idx="27">
                  <c:v>-286.02328142241379</c:v>
                </c:pt>
                <c:pt idx="28">
                  <c:v>-245.63306433537269</c:v>
                </c:pt>
                <c:pt idx="29">
                  <c:v>-257.97216258620688</c:v>
                </c:pt>
                <c:pt idx="30">
                  <c:v>-239.61318752780869</c:v>
                </c:pt>
                <c:pt idx="31">
                  <c:v>-261.1907634176863</c:v>
                </c:pt>
                <c:pt idx="32">
                  <c:v>-237.56511672413791</c:v>
                </c:pt>
                <c:pt idx="33">
                  <c:v>-137.19109688542821</c:v>
                </c:pt>
                <c:pt idx="34">
                  <c:v>-89.135092744252873</c:v>
                </c:pt>
                <c:pt idx="35">
                  <c:v>-155.37832673804229</c:v>
                </c:pt>
                <c:pt idx="36">
                  <c:v>-141.82833834816461</c:v>
                </c:pt>
                <c:pt idx="37">
                  <c:v>-231.55624981527089</c:v>
                </c:pt>
                <c:pt idx="38">
                  <c:v>-433.85997395717459</c:v>
                </c:pt>
                <c:pt idx="39">
                  <c:v>-315.84438037356318</c:v>
                </c:pt>
                <c:pt idx="40">
                  <c:v>-252.88233390804601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535-8628-9FB387DC1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85248"/>
        <c:axId val="113411936"/>
      </c:lineChart>
      <c:dateAx>
        <c:axId val="11908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1936"/>
        <c:crosses val="autoZero"/>
        <c:auto val="1"/>
        <c:lblOffset val="100"/>
        <c:baseTimeUnit val="months"/>
      </c:dateAx>
      <c:valAx>
        <c:axId val="11341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  CORR=0.01586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 GPRC_CHN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-0.92647683620452881</c:v>
                </c:pt>
                <c:pt idx="1">
                  <c:v>-1.071664571762085</c:v>
                </c:pt>
                <c:pt idx="2">
                  <c:v>-0.77166932821273804</c:v>
                </c:pt>
                <c:pt idx="3">
                  <c:v>-0.55958455801010132</c:v>
                </c:pt>
                <c:pt idx="4">
                  <c:v>-1.1733860969543457</c:v>
                </c:pt>
                <c:pt idx="5">
                  <c:v>-1.2943308353424072</c:v>
                </c:pt>
                <c:pt idx="6">
                  <c:v>-0.75657021999359131</c:v>
                </c:pt>
                <c:pt idx="7">
                  <c:v>-1.2167065143585205</c:v>
                </c:pt>
                <c:pt idx="8">
                  <c:v>-0.72633862495422363</c:v>
                </c:pt>
                <c:pt idx="9">
                  <c:v>-0.6726645827293396</c:v>
                </c:pt>
                <c:pt idx="10">
                  <c:v>-0.6029929518699646</c:v>
                </c:pt>
                <c:pt idx="11">
                  <c:v>-0.60188329219818115</c:v>
                </c:pt>
                <c:pt idx="12">
                  <c:v>-1.2574454545974731</c:v>
                </c:pt>
                <c:pt idx="13">
                  <c:v>-0.87382966279983521</c:v>
                </c:pt>
                <c:pt idx="14">
                  <c:v>-0.67128443717956543</c:v>
                </c:pt>
                <c:pt idx="15">
                  <c:v>-0.60350030660629272</c:v>
                </c:pt>
                <c:pt idx="16">
                  <c:v>-0.76153570413589478</c:v>
                </c:pt>
                <c:pt idx="17">
                  <c:v>-0.77057957649230957</c:v>
                </c:pt>
                <c:pt idx="18">
                  <c:v>-0.92713445425033569</c:v>
                </c:pt>
                <c:pt idx="19">
                  <c:v>-0.66343116760253906</c:v>
                </c:pt>
                <c:pt idx="20">
                  <c:v>-0.86036926507949829</c:v>
                </c:pt>
                <c:pt idx="21">
                  <c:v>-0.64959716796875</c:v>
                </c:pt>
                <c:pt idx="22">
                  <c:v>-0.41756528615951538</c:v>
                </c:pt>
                <c:pt idx="23">
                  <c:v>-0.59490084648132324</c:v>
                </c:pt>
                <c:pt idx="24">
                  <c:v>-0.80387318134307861</c:v>
                </c:pt>
                <c:pt idx="25">
                  <c:v>-0.73551487922668457</c:v>
                </c:pt>
                <c:pt idx="26">
                  <c:v>-0.86440986394882202</c:v>
                </c:pt>
                <c:pt idx="27">
                  <c:v>-0.75688183307647705</c:v>
                </c:pt>
                <c:pt idx="28">
                  <c:v>-0.64822208881378174</c:v>
                </c:pt>
                <c:pt idx="29">
                  <c:v>-0.75659006834030151</c:v>
                </c:pt>
                <c:pt idx="30">
                  <c:v>-0.54320073127746582</c:v>
                </c:pt>
                <c:pt idx="31">
                  <c:v>-0.60506051778793335</c:v>
                </c:pt>
                <c:pt idx="32">
                  <c:v>-0.85758334398269653</c:v>
                </c:pt>
                <c:pt idx="33">
                  <c:v>-0.79255366325378418</c:v>
                </c:pt>
                <c:pt idx="34">
                  <c:v>-0.81423693895339966</c:v>
                </c:pt>
                <c:pt idx="35">
                  <c:v>-0.88293498754501343</c:v>
                </c:pt>
                <c:pt idx="36">
                  <c:v>-0.8261566162109375</c:v>
                </c:pt>
                <c:pt idx="37">
                  <c:v>-1.5198043584823608</c:v>
                </c:pt>
                <c:pt idx="38">
                  <c:v>-2.6001195907592773</c:v>
                </c:pt>
                <c:pt idx="39">
                  <c:v>-1.1504693031311035</c:v>
                </c:pt>
                <c:pt idx="40">
                  <c:v>-0.95703125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3-4DA3-9FBB-109E8A36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653984"/>
        <c:axId val="1665934848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-0.41926467220706609</c:v>
                </c:pt>
                <c:pt idx="1">
                  <c:v>0.26082944629226235</c:v>
                </c:pt>
                <c:pt idx="2">
                  <c:v>0.18755591940229538</c:v>
                </c:pt>
                <c:pt idx="3">
                  <c:v>0.61553039883056004</c:v>
                </c:pt>
                <c:pt idx="4">
                  <c:v>0.24317146801570494</c:v>
                </c:pt>
                <c:pt idx="5">
                  <c:v>0.77466079143718791</c:v>
                </c:pt>
                <c:pt idx="6">
                  <c:v>1.3253515702664214</c:v>
                </c:pt>
                <c:pt idx="7">
                  <c:v>-0.90955165651359993</c:v>
                </c:pt>
                <c:pt idx="8">
                  <c:v>-0.28797977032022237</c:v>
                </c:pt>
                <c:pt idx="9">
                  <c:v>-0.28566312086633822</c:v>
                </c:pt>
                <c:pt idx="10">
                  <c:v>-0.39220290337497499</c:v>
                </c:pt>
                <c:pt idx="11">
                  <c:v>0.28814036788829667</c:v>
                </c:pt>
                <c:pt idx="12">
                  <c:v>-1.1023710572188803</c:v>
                </c:pt>
                <c:pt idx="13">
                  <c:v>-3.609566438514543</c:v>
                </c:pt>
                <c:pt idx="14">
                  <c:v>-2.2932053590085051</c:v>
                </c:pt>
                <c:pt idx="15">
                  <c:v>-1.6510074492687559</c:v>
                </c:pt>
                <c:pt idx="16">
                  <c:v>-1.5115039304384226</c:v>
                </c:pt>
                <c:pt idx="17">
                  <c:v>-1.1613058963226421</c:v>
                </c:pt>
                <c:pt idx="18">
                  <c:v>-1.2610718539506622</c:v>
                </c:pt>
                <c:pt idx="19">
                  <c:v>-0.12405874042939395</c:v>
                </c:pt>
                <c:pt idx="20">
                  <c:v>4.834844825086082E-2</c:v>
                </c:pt>
                <c:pt idx="21">
                  <c:v>0.79345040719480575</c:v>
                </c:pt>
                <c:pt idx="22">
                  <c:v>0.98146810214963831</c:v>
                </c:pt>
                <c:pt idx="23">
                  <c:v>0.25576337504482971</c:v>
                </c:pt>
                <c:pt idx="24">
                  <c:v>3.9651221277608006E-2</c:v>
                </c:pt>
                <c:pt idx="25">
                  <c:v>0.3605072990086301</c:v>
                </c:pt>
                <c:pt idx="26">
                  <c:v>-7.3769028673219397E-2</c:v>
                </c:pt>
                <c:pt idx="27">
                  <c:v>0.49164057080470602</c:v>
                </c:pt>
                <c:pt idx="28">
                  <c:v>0.60545807389756345</c:v>
                </c:pt>
                <c:pt idx="29">
                  <c:v>0.57068714532590237</c:v>
                </c:pt>
                <c:pt idx="30">
                  <c:v>0.62242176947976346</c:v>
                </c:pt>
                <c:pt idx="31">
                  <c:v>0.56161729781054659</c:v>
                </c:pt>
                <c:pt idx="32">
                  <c:v>0.62819312506641067</c:v>
                </c:pt>
                <c:pt idx="33">
                  <c:v>0.91104182302748904</c:v>
                </c:pt>
                <c:pt idx="34">
                  <c:v>1.0464611100340815</c:v>
                </c:pt>
                <c:pt idx="35">
                  <c:v>0.8597911678121557</c:v>
                </c:pt>
                <c:pt idx="36">
                  <c:v>0.89797432097891339</c:v>
                </c:pt>
                <c:pt idx="37">
                  <c:v>0.6451257953343299</c:v>
                </c:pt>
                <c:pt idx="38">
                  <c:v>7.5044562579447527E-2</c:v>
                </c:pt>
                <c:pt idx="39">
                  <c:v>0.40760628560167245</c:v>
                </c:pt>
                <c:pt idx="40">
                  <c:v>0.5850300142951449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3-4DA3-9FBB-109E8A36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649584"/>
        <c:axId val="1665936512"/>
      </c:lineChart>
      <c:dateAx>
        <c:axId val="1670653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34848"/>
        <c:crosses val="autoZero"/>
        <c:auto val="1"/>
        <c:lblOffset val="100"/>
        <c:baseTimeUnit val="months"/>
      </c:dateAx>
      <c:valAx>
        <c:axId val="1665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3984"/>
        <c:crosses val="autoZero"/>
        <c:crossBetween val="between"/>
      </c:valAx>
      <c:valAx>
        <c:axId val="16659365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49584"/>
        <c:crosses val="max"/>
        <c:crossBetween val="between"/>
      </c:valAx>
      <c:dateAx>
        <c:axId val="16706495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5936512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15</xdr:row>
      <xdr:rowOff>147639</xdr:rowOff>
    </xdr:from>
    <xdr:to>
      <xdr:col>15</xdr:col>
      <xdr:colOff>176213</xdr:colOff>
      <xdr:row>41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814BC-0717-4AE2-9B75-76F8FC34F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107156</xdr:colOff>
      <xdr:row>19</xdr:row>
      <xdr:rowOff>169068</xdr:rowOff>
    </xdr:from>
    <xdr:to>
      <xdr:col>13</xdr:col>
      <xdr:colOff>145256</xdr:colOff>
      <xdr:row>35</xdr:row>
      <xdr:rowOff>16668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A39F1-500D-4DDF-A6E6-A2A23EE68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-609.27462248331472</v>
      </c>
    </row>
    <row r="3" spans="1:2" x14ac:dyDescent="0.45">
      <c r="A3" s="2">
        <v>43497</v>
      </c>
      <c r="B3">
        <v>-367.93081911945808</v>
      </c>
    </row>
    <row r="4" spans="1:2" x14ac:dyDescent="0.45">
      <c r="A4" s="2">
        <v>43525</v>
      </c>
      <c r="B4">
        <v>-393.93326669911011</v>
      </c>
    </row>
    <row r="5" spans="1:2" x14ac:dyDescent="0.45">
      <c r="A5" s="2">
        <v>43556</v>
      </c>
      <c r="B5">
        <v>-242.05871610632181</v>
      </c>
    </row>
    <row r="6" spans="1:2" x14ac:dyDescent="0.45">
      <c r="A6" s="2">
        <v>43586</v>
      </c>
      <c r="B6">
        <v>-374.19707480533918</v>
      </c>
    </row>
    <row r="7" spans="1:2" x14ac:dyDescent="0.45">
      <c r="A7" s="2">
        <v>43617</v>
      </c>
      <c r="B7">
        <v>-185.58839363505751</v>
      </c>
    </row>
    <row r="8" spans="1:2" x14ac:dyDescent="0.45">
      <c r="A8" s="2">
        <v>43647</v>
      </c>
      <c r="B8">
        <v>9.8342742352613968</v>
      </c>
    </row>
    <row r="9" spans="1:2" x14ac:dyDescent="0.45">
      <c r="A9" s="2">
        <v>43678</v>
      </c>
      <c r="B9">
        <v>-783.26190205784201</v>
      </c>
    </row>
    <row r="10" spans="1:2" x14ac:dyDescent="0.45">
      <c r="A10" s="2">
        <v>43709</v>
      </c>
      <c r="B10">
        <v>-562.68578031609206</v>
      </c>
    </row>
    <row r="11" spans="1:2" x14ac:dyDescent="0.45">
      <c r="A11" s="2">
        <v>43739</v>
      </c>
      <c r="B11">
        <v>-561.86367500000006</v>
      </c>
    </row>
    <row r="12" spans="1:2" x14ac:dyDescent="0.45">
      <c r="A12" s="2">
        <v>43770</v>
      </c>
      <c r="B12">
        <v>-599.67126018678164</v>
      </c>
    </row>
    <row r="13" spans="1:2" x14ac:dyDescent="0.45">
      <c r="A13" s="2">
        <v>43800</v>
      </c>
      <c r="B13">
        <v>-358.23904041991102</v>
      </c>
    </row>
    <row r="14" spans="1:2" x14ac:dyDescent="0.45">
      <c r="A14" s="2">
        <v>43831</v>
      </c>
      <c r="B14">
        <v>-851.68738356507231</v>
      </c>
    </row>
    <row r="15" spans="1:2" x14ac:dyDescent="0.45">
      <c r="A15" s="2">
        <v>43862</v>
      </c>
      <c r="B15">
        <v>-1741.4113976961951</v>
      </c>
    </row>
    <row r="16" spans="1:2" x14ac:dyDescent="0.45">
      <c r="A16" s="2">
        <v>43891</v>
      </c>
      <c r="B16">
        <v>-1274.2766572441601</v>
      </c>
    </row>
    <row r="17" spans="1:2" x14ac:dyDescent="0.45">
      <c r="A17" s="2">
        <v>43922</v>
      </c>
      <c r="B17">
        <v>-1046.3810148132179</v>
      </c>
    </row>
    <row r="18" spans="1:2" x14ac:dyDescent="0.45">
      <c r="A18" s="2">
        <v>43952</v>
      </c>
      <c r="B18">
        <v>-996.87564651001117</v>
      </c>
    </row>
    <row r="19" spans="1:2" x14ac:dyDescent="0.45">
      <c r="A19" s="2">
        <v>43983</v>
      </c>
      <c r="B19">
        <v>-872.60148623563214</v>
      </c>
    </row>
    <row r="20" spans="1:2" x14ac:dyDescent="0.45">
      <c r="A20" s="2">
        <v>44013</v>
      </c>
      <c r="B20">
        <v>-908.00525610400439</v>
      </c>
    </row>
    <row r="21" spans="1:2" x14ac:dyDescent="0.45">
      <c r="A21" s="2">
        <v>44044</v>
      </c>
      <c r="B21">
        <v>-504.51541281979968</v>
      </c>
    </row>
    <row r="22" spans="1:2" x14ac:dyDescent="0.45">
      <c r="A22" s="2">
        <v>44075</v>
      </c>
      <c r="B22">
        <v>-443.33357708333341</v>
      </c>
    </row>
    <row r="23" spans="1:2" x14ac:dyDescent="0.45">
      <c r="A23" s="2">
        <v>44105</v>
      </c>
      <c r="B23">
        <v>-178.9205557471264</v>
      </c>
    </row>
    <row r="24" spans="1:2" x14ac:dyDescent="0.45">
      <c r="A24" s="2">
        <v>44136</v>
      </c>
      <c r="B24">
        <v>-112.199047112069</v>
      </c>
    </row>
    <row r="25" spans="1:2" x14ac:dyDescent="0.45">
      <c r="A25" s="2">
        <v>44166</v>
      </c>
      <c r="B25">
        <v>-369.72860691045611</v>
      </c>
    </row>
    <row r="26" spans="1:2" x14ac:dyDescent="0.45">
      <c r="A26" s="2">
        <v>44197</v>
      </c>
      <c r="B26">
        <v>-446.41994671857623</v>
      </c>
    </row>
    <row r="27" spans="1:2" x14ac:dyDescent="0.45">
      <c r="A27" s="2">
        <v>44228</v>
      </c>
      <c r="B27">
        <v>-332.55831488608368</v>
      </c>
    </row>
    <row r="28" spans="1:2" x14ac:dyDescent="0.45">
      <c r="A28" s="2">
        <v>44256</v>
      </c>
      <c r="B28">
        <v>-486.66919128197998</v>
      </c>
    </row>
    <row r="29" spans="1:2" x14ac:dyDescent="0.45">
      <c r="A29" s="2">
        <v>44287</v>
      </c>
      <c r="B29">
        <v>-286.02328142241379</v>
      </c>
    </row>
    <row r="30" spans="1:2" x14ac:dyDescent="0.45">
      <c r="A30" s="2">
        <v>44317</v>
      </c>
      <c r="B30">
        <v>-245.63306433537269</v>
      </c>
    </row>
    <row r="31" spans="1:2" x14ac:dyDescent="0.45">
      <c r="A31" s="2">
        <v>44348</v>
      </c>
      <c r="B31">
        <v>-257.97216258620688</v>
      </c>
    </row>
    <row r="32" spans="1:2" x14ac:dyDescent="0.45">
      <c r="A32" s="2">
        <v>44378</v>
      </c>
      <c r="B32">
        <v>-239.61318752780869</v>
      </c>
    </row>
    <row r="33" spans="1:2" x14ac:dyDescent="0.45">
      <c r="A33" s="2">
        <v>44409</v>
      </c>
      <c r="B33">
        <v>-261.1907634176863</v>
      </c>
    </row>
    <row r="34" spans="1:2" x14ac:dyDescent="0.45">
      <c r="A34" s="2">
        <v>44440</v>
      </c>
      <c r="B34">
        <v>-237.56511672413791</v>
      </c>
    </row>
    <row r="35" spans="1:2" x14ac:dyDescent="0.45">
      <c r="A35" s="2">
        <v>44470</v>
      </c>
      <c r="B35">
        <v>-137.19109688542821</v>
      </c>
    </row>
    <row r="36" spans="1:2" x14ac:dyDescent="0.45">
      <c r="A36" s="2">
        <v>44501</v>
      </c>
      <c r="B36">
        <v>-89.135092744252873</v>
      </c>
    </row>
    <row r="37" spans="1:2" x14ac:dyDescent="0.45">
      <c r="A37" s="2">
        <v>44531</v>
      </c>
      <c r="B37">
        <v>-155.37832673804229</v>
      </c>
    </row>
    <row r="38" spans="1:2" x14ac:dyDescent="0.45">
      <c r="A38" s="2">
        <v>44562</v>
      </c>
      <c r="B38">
        <v>-141.82833834816461</v>
      </c>
    </row>
    <row r="39" spans="1:2" x14ac:dyDescent="0.45">
      <c r="A39" s="2">
        <v>44593</v>
      </c>
      <c r="B39">
        <v>-231.55624981527089</v>
      </c>
    </row>
    <row r="40" spans="1:2" x14ac:dyDescent="0.45">
      <c r="A40" s="2">
        <v>44621</v>
      </c>
      <c r="B40">
        <v>-433.85997395717459</v>
      </c>
    </row>
    <row r="41" spans="1:2" x14ac:dyDescent="0.45">
      <c r="A41" s="2">
        <v>44652</v>
      </c>
      <c r="B41">
        <v>-315.84438037356318</v>
      </c>
    </row>
    <row r="42" spans="1:2" x14ac:dyDescent="0.45">
      <c r="A42" s="2">
        <v>44682</v>
      </c>
      <c r="B42">
        <v>-252.88233390804601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C696-183F-4B33-9161-792A4787DE4C}">
  <dimension ref="A1:G42"/>
  <sheetViews>
    <sheetView workbookViewId="0">
      <selection activeCell="B1" sqref="B1:D1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s="1" t="s">
        <v>3</v>
      </c>
    </row>
    <row r="2" spans="1:7" x14ac:dyDescent="0.45">
      <c r="A2" s="2">
        <v>43466</v>
      </c>
      <c r="B2" s="3">
        <v>0.92647683620452881</v>
      </c>
      <c r="C2">
        <v>-1502.7378168672819</v>
      </c>
      <c r="D2">
        <v>-609.27462248331472</v>
      </c>
    </row>
    <row r="3" spans="1:7" x14ac:dyDescent="0.45">
      <c r="A3" s="2">
        <v>43497</v>
      </c>
      <c r="B3" s="3">
        <v>1.071664571762085</v>
      </c>
      <c r="C3">
        <v>-919.17908969386269</v>
      </c>
      <c r="D3">
        <v>-367.93081911945808</v>
      </c>
      <c r="G3">
        <f>CORREL(B2:B42,D2:D42)</f>
        <v>-1.5860127418238643E-2</v>
      </c>
    </row>
    <row r="4" spans="1:7" x14ac:dyDescent="0.45">
      <c r="A4" s="2">
        <v>43525</v>
      </c>
      <c r="B4" s="3">
        <v>0.77166932821273804</v>
      </c>
      <c r="C4">
        <v>-1078.2290008759339</v>
      </c>
      <c r="D4">
        <v>-393.93326669911011</v>
      </c>
    </row>
    <row r="5" spans="1:7" x14ac:dyDescent="0.45">
      <c r="A5" s="2">
        <v>43556</v>
      </c>
      <c r="B5" s="3">
        <v>0.55958455801010132</v>
      </c>
      <c r="C5">
        <v>-688.01241841491526</v>
      </c>
      <c r="D5">
        <v>-242.05871610632181</v>
      </c>
    </row>
    <row r="6" spans="1:7" x14ac:dyDescent="0.45">
      <c r="A6" s="2">
        <v>43586</v>
      </c>
      <c r="B6" s="3">
        <v>1.1733860969543457</v>
      </c>
      <c r="C6">
        <v>-708.02479225691707</v>
      </c>
      <c r="D6">
        <v>-374.19707480533918</v>
      </c>
    </row>
    <row r="7" spans="1:7" x14ac:dyDescent="0.45">
      <c r="A7" s="2">
        <v>43617</v>
      </c>
      <c r="B7" s="3">
        <v>1.2943308353424072</v>
      </c>
      <c r="C7">
        <v>-388.54424622802281</v>
      </c>
      <c r="D7">
        <v>-185.58839363505751</v>
      </c>
    </row>
    <row r="8" spans="1:7" x14ac:dyDescent="0.45">
      <c r="A8" s="2">
        <v>43647</v>
      </c>
      <c r="B8" s="3">
        <v>0.75657021999359131</v>
      </c>
      <c r="C8">
        <v>17.726654395563401</v>
      </c>
      <c r="D8">
        <v>9.8342742352613968</v>
      </c>
    </row>
    <row r="9" spans="1:7" x14ac:dyDescent="0.45">
      <c r="A9" s="2">
        <v>43678</v>
      </c>
      <c r="B9" s="3">
        <v>1.2167065143585205</v>
      </c>
      <c r="C9">
        <v>-1689.418187264024</v>
      </c>
      <c r="D9">
        <v>-783.26190205784201</v>
      </c>
    </row>
    <row r="10" spans="1:7" x14ac:dyDescent="0.45">
      <c r="A10" s="2">
        <v>43709</v>
      </c>
      <c r="B10" s="3">
        <v>0.72633862495422363</v>
      </c>
      <c r="C10">
        <v>-1356.266057490561</v>
      </c>
      <c r="D10">
        <v>-562.68578031609206</v>
      </c>
    </row>
    <row r="11" spans="1:7" x14ac:dyDescent="0.45">
      <c r="A11" s="2">
        <v>43739</v>
      </c>
      <c r="B11" s="3">
        <v>0.6726645827293396</v>
      </c>
      <c r="C11">
        <v>-1418.4384148931381</v>
      </c>
      <c r="D11">
        <v>-561.86367500000006</v>
      </c>
    </row>
    <row r="12" spans="1:7" x14ac:dyDescent="0.45">
      <c r="A12" s="2">
        <v>43770</v>
      </c>
      <c r="B12" s="3">
        <v>0.6029929518699646</v>
      </c>
      <c r="C12">
        <v>-1522.644188382048</v>
      </c>
      <c r="D12">
        <v>-599.67126018678164</v>
      </c>
    </row>
    <row r="13" spans="1:7" x14ac:dyDescent="0.45">
      <c r="A13" s="2">
        <v>43800</v>
      </c>
      <c r="B13" s="3">
        <v>0.60188329219818115</v>
      </c>
      <c r="C13">
        <v>-929.74069223172023</v>
      </c>
      <c r="D13">
        <v>-358.23904041991102</v>
      </c>
    </row>
    <row r="14" spans="1:7" x14ac:dyDescent="0.45">
      <c r="A14" s="2">
        <v>43831</v>
      </c>
      <c r="B14" s="3">
        <v>1.2574454545974731</v>
      </c>
      <c r="C14">
        <v>-2788.5626233696921</v>
      </c>
      <c r="D14">
        <v>-851.68738356507231</v>
      </c>
    </row>
    <row r="15" spans="1:7" x14ac:dyDescent="0.45">
      <c r="A15" s="2">
        <v>43862</v>
      </c>
      <c r="B15" s="3">
        <v>0.87382966279983521</v>
      </c>
      <c r="C15">
        <v>-5495.2690952960402</v>
      </c>
      <c r="D15">
        <v>-1741.4113976961951</v>
      </c>
    </row>
    <row r="16" spans="1:7" x14ac:dyDescent="0.45">
      <c r="A16" s="2">
        <v>43891</v>
      </c>
      <c r="B16" s="3">
        <v>0.67128443717956543</v>
      </c>
      <c r="C16">
        <v>-3806.7807703298322</v>
      </c>
      <c r="D16">
        <v>-1274.2766572441601</v>
      </c>
    </row>
    <row r="17" spans="1:4" x14ac:dyDescent="0.45">
      <c r="A17" s="2">
        <v>43922</v>
      </c>
      <c r="B17" s="3">
        <v>0.60350030660629272</v>
      </c>
      <c r="C17">
        <v>-3048.0940559752462</v>
      </c>
      <c r="D17">
        <v>-1046.3810148132179</v>
      </c>
    </row>
    <row r="18" spans="1:4" x14ac:dyDescent="0.45">
      <c r="A18" s="2">
        <v>43952</v>
      </c>
      <c r="B18" s="3">
        <v>0.76153570413589478</v>
      </c>
      <c r="C18">
        <v>-2654.501064715495</v>
      </c>
      <c r="D18">
        <v>-996.87564651001117</v>
      </c>
    </row>
    <row r="19" spans="1:4" x14ac:dyDescent="0.45">
      <c r="A19" s="2">
        <v>43983</v>
      </c>
      <c r="B19" s="3">
        <v>0.77057957649230957</v>
      </c>
      <c r="C19">
        <v>-2414.0454592156689</v>
      </c>
      <c r="D19">
        <v>-872.60148623563214</v>
      </c>
    </row>
    <row r="20" spans="1:4" x14ac:dyDescent="0.45">
      <c r="A20" s="2">
        <v>44013</v>
      </c>
      <c r="B20" s="3">
        <v>0.92713445425033569</v>
      </c>
      <c r="C20">
        <v>-2375.815164121896</v>
      </c>
      <c r="D20">
        <v>-908.00525610400439</v>
      </c>
    </row>
    <row r="21" spans="1:4" x14ac:dyDescent="0.45">
      <c r="A21" s="2">
        <v>44044</v>
      </c>
      <c r="B21" s="3">
        <v>0.66343116760253906</v>
      </c>
      <c r="C21">
        <v>-1314.0033943538119</v>
      </c>
      <c r="D21">
        <v>-504.51541281979968</v>
      </c>
    </row>
    <row r="22" spans="1:4" x14ac:dyDescent="0.45">
      <c r="A22" s="2">
        <v>44075</v>
      </c>
      <c r="B22" s="3">
        <v>0.86036926507949829</v>
      </c>
      <c r="C22">
        <v>-1193.5267378463259</v>
      </c>
      <c r="D22">
        <v>-443.33357708333341</v>
      </c>
    </row>
    <row r="23" spans="1:4" x14ac:dyDescent="0.45">
      <c r="A23" s="2">
        <v>44105</v>
      </c>
      <c r="B23" s="3">
        <v>0.64959716796875</v>
      </c>
      <c r="C23">
        <v>-494.64758892730691</v>
      </c>
      <c r="D23">
        <v>-178.9205557471264</v>
      </c>
    </row>
    <row r="24" spans="1:4" x14ac:dyDescent="0.45">
      <c r="A24" s="2">
        <v>44136</v>
      </c>
      <c r="B24" s="3">
        <v>0.41756528615951538</v>
      </c>
      <c r="C24">
        <v>-332.20671902009911</v>
      </c>
      <c r="D24">
        <v>-112.199047112069</v>
      </c>
    </row>
    <row r="25" spans="1:4" x14ac:dyDescent="0.45">
      <c r="A25" s="2">
        <v>44166</v>
      </c>
      <c r="B25" s="3">
        <v>0.59490084648132324</v>
      </c>
      <c r="C25">
        <v>-984.37551498808182</v>
      </c>
      <c r="D25">
        <v>-369.72860691045611</v>
      </c>
    </row>
    <row r="26" spans="1:4" x14ac:dyDescent="0.45">
      <c r="A26" s="2">
        <v>44197</v>
      </c>
      <c r="B26" s="3">
        <v>0.80387318134307861</v>
      </c>
      <c r="C26">
        <v>-1216.9781320634911</v>
      </c>
      <c r="D26">
        <v>-446.41994671857623</v>
      </c>
    </row>
    <row r="27" spans="1:4" x14ac:dyDescent="0.45">
      <c r="A27" s="2">
        <v>44228</v>
      </c>
      <c r="B27" s="3">
        <v>0.73551487922668457</v>
      </c>
      <c r="C27">
        <v>-899.42237827209738</v>
      </c>
      <c r="D27">
        <v>-332.55831488608368</v>
      </c>
    </row>
    <row r="28" spans="1:4" x14ac:dyDescent="0.45">
      <c r="A28" s="2">
        <v>44256</v>
      </c>
      <c r="B28" s="3">
        <v>0.86440986394882202</v>
      </c>
      <c r="C28">
        <v>-1337.5139474495661</v>
      </c>
      <c r="D28">
        <v>-486.66919128197998</v>
      </c>
    </row>
    <row r="29" spans="1:4" x14ac:dyDescent="0.45">
      <c r="A29" s="2">
        <v>44287</v>
      </c>
      <c r="B29" s="3">
        <v>0.75688183307647705</v>
      </c>
      <c r="C29">
        <v>-794.41745671661181</v>
      </c>
      <c r="D29">
        <v>-286.02328142241379</v>
      </c>
    </row>
    <row r="30" spans="1:4" x14ac:dyDescent="0.45">
      <c r="A30" s="2">
        <v>44317</v>
      </c>
      <c r="B30" s="3">
        <v>0.64822208881378174</v>
      </c>
      <c r="C30">
        <v>-703.61372402385712</v>
      </c>
      <c r="D30">
        <v>-245.63306433537269</v>
      </c>
    </row>
    <row r="31" spans="1:4" x14ac:dyDescent="0.45">
      <c r="A31" s="2">
        <v>44348</v>
      </c>
      <c r="B31" s="3">
        <v>0.75659006834030151</v>
      </c>
      <c r="C31">
        <v>-706.39708045820544</v>
      </c>
      <c r="D31">
        <v>-257.97216258620688</v>
      </c>
    </row>
    <row r="32" spans="1:4" x14ac:dyDescent="0.45">
      <c r="A32" s="2">
        <v>44378</v>
      </c>
      <c r="B32" s="3">
        <v>0.54320073127746582</v>
      </c>
      <c r="C32">
        <v>-729.23712097176542</v>
      </c>
      <c r="D32">
        <v>-239.61318752780869</v>
      </c>
    </row>
    <row r="33" spans="1:4" x14ac:dyDescent="0.45">
      <c r="A33" s="2">
        <v>44409</v>
      </c>
      <c r="B33" s="3">
        <v>0.60506051778793335</v>
      </c>
      <c r="C33">
        <v>-739.52657891779154</v>
      </c>
      <c r="D33">
        <v>-261.1907634176863</v>
      </c>
    </row>
    <row r="34" spans="1:4" x14ac:dyDescent="0.45">
      <c r="A34" s="2">
        <v>44440</v>
      </c>
      <c r="B34" s="3">
        <v>0.85758334398269653</v>
      </c>
      <c r="C34">
        <v>-649.42060320065275</v>
      </c>
      <c r="D34">
        <v>-237.56511672413791</v>
      </c>
    </row>
    <row r="35" spans="1:4" x14ac:dyDescent="0.45">
      <c r="A35" s="2">
        <v>44470</v>
      </c>
      <c r="B35" s="3">
        <v>0.79255366325378418</v>
      </c>
      <c r="C35">
        <v>-401.02995598882382</v>
      </c>
      <c r="D35">
        <v>-137.19109688542821</v>
      </c>
    </row>
    <row r="36" spans="1:4" x14ac:dyDescent="0.45">
      <c r="A36" s="2">
        <v>44501</v>
      </c>
      <c r="B36" s="3">
        <v>0.81423693895339966</v>
      </c>
      <c r="C36">
        <v>-281.10479045218318</v>
      </c>
      <c r="D36">
        <v>-89.135092744252873</v>
      </c>
    </row>
    <row r="37" spans="1:4" x14ac:dyDescent="0.45">
      <c r="A37" s="2">
        <v>44531</v>
      </c>
      <c r="B37" s="3">
        <v>0.88293498754501343</v>
      </c>
      <c r="C37">
        <v>-443.49082526218331</v>
      </c>
      <c r="D37">
        <v>-155.37832673804229</v>
      </c>
    </row>
    <row r="38" spans="1:4" x14ac:dyDescent="0.45">
      <c r="A38" s="2">
        <v>44562</v>
      </c>
      <c r="B38" s="3">
        <v>0.8261566162109375</v>
      </c>
      <c r="C38">
        <v>-408.26984674693989</v>
      </c>
      <c r="D38">
        <v>-141.82833834816461</v>
      </c>
    </row>
    <row r="39" spans="1:4" x14ac:dyDescent="0.45">
      <c r="A39" s="2">
        <v>44593</v>
      </c>
      <c r="B39" s="3">
        <v>1.5198043584823608</v>
      </c>
      <c r="C39">
        <v>-605.56574461073058</v>
      </c>
      <c r="D39">
        <v>-231.55624981527089</v>
      </c>
    </row>
    <row r="40" spans="1:4" x14ac:dyDescent="0.45">
      <c r="A40" s="2">
        <v>44621</v>
      </c>
      <c r="B40" s="3">
        <v>2.6001195907592773</v>
      </c>
      <c r="C40">
        <v>-1150.835084805195</v>
      </c>
      <c r="D40">
        <v>-433.85997395717459</v>
      </c>
    </row>
    <row r="41" spans="1:4" x14ac:dyDescent="0.45">
      <c r="A41" s="2">
        <v>44652</v>
      </c>
      <c r="B41" s="3">
        <v>1.1504693031311035</v>
      </c>
      <c r="C41">
        <v>-859.55249528830768</v>
      </c>
      <c r="D41">
        <v>-315.84438037356318</v>
      </c>
    </row>
    <row r="42" spans="1:4" x14ac:dyDescent="0.45">
      <c r="A42" s="2">
        <v>44682</v>
      </c>
      <c r="B42" s="3">
        <v>0.95703125</v>
      </c>
      <c r="C42">
        <v>-684.63341512434897</v>
      </c>
      <c r="D42">
        <v>-252.88233390804601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68B5-6706-429B-BC69-31788F0E9A50}">
  <dimension ref="A1:F42"/>
  <sheetViews>
    <sheetView tabSelected="1" workbookViewId="0">
      <selection activeCell="I10" sqref="I10"/>
    </sheetView>
  </sheetViews>
  <sheetFormatPr defaultRowHeight="14.25" x14ac:dyDescent="0.45"/>
  <sheetData>
    <row r="1" spans="1:6" x14ac:dyDescent="0.45">
      <c r="A1" t="s">
        <v>1</v>
      </c>
      <c r="B1" t="s">
        <v>4</v>
      </c>
      <c r="C1" s="1" t="s">
        <v>5</v>
      </c>
      <c r="D1" s="1" t="s">
        <v>6</v>
      </c>
    </row>
    <row r="2" spans="1:6" x14ac:dyDescent="0.45">
      <c r="A2" s="2">
        <v>43466</v>
      </c>
      <c r="B2" s="3">
        <f>-Sheet2!B2</f>
        <v>-0.92647683620452881</v>
      </c>
      <c r="C2">
        <f>STANDARDIZE(Sheet2!C2,AVERAGE(Sheet2!C$2:C$42),STDEV(Sheet2!C$2:C$42))</f>
        <v>-0.22663030619674623</v>
      </c>
      <c r="D2">
        <f>STANDARDIZE(Sheet2!D2,AVERAGE(Sheet2!D$2:D$42),STDEV(Sheet2!D$2:D$42))</f>
        <v>-0.41926467220706609</v>
      </c>
      <c r="F2">
        <f>CORREL(B2:B42,D2:D42)</f>
        <v>1.5860127418238636E-2</v>
      </c>
    </row>
    <row r="3" spans="1:6" x14ac:dyDescent="0.45">
      <c r="A3" s="2">
        <v>43497</v>
      </c>
      <c r="B3" s="3">
        <f>-Sheet2!B3</f>
        <v>-1.071664571762085</v>
      </c>
      <c r="C3">
        <f>STANDARDIZE(Sheet2!C3,AVERAGE(Sheet2!C$2:C$42),STDEV(Sheet2!C$2:C$42))</f>
        <v>0.32020186731441652</v>
      </c>
      <c r="D3">
        <f>STANDARDIZE(Sheet2!D3,AVERAGE(Sheet2!D$2:D$42),STDEV(Sheet2!D$2:D$42))</f>
        <v>0.26082944629226235</v>
      </c>
    </row>
    <row r="4" spans="1:6" x14ac:dyDescent="0.45">
      <c r="A4" s="2">
        <v>43525</v>
      </c>
      <c r="B4" s="3">
        <f>-Sheet2!B4</f>
        <v>-0.77166932821273804</v>
      </c>
      <c r="C4">
        <f>STANDARDIZE(Sheet2!C4,AVERAGE(Sheet2!C$2:C$42),STDEV(Sheet2!C$2:C$42))</f>
        <v>0.17116184001549653</v>
      </c>
      <c r="D4">
        <f>STANDARDIZE(Sheet2!D4,AVERAGE(Sheet2!D$2:D$42),STDEV(Sheet2!D$2:D$42))</f>
        <v>0.18755591940229538</v>
      </c>
    </row>
    <row r="5" spans="1:6" x14ac:dyDescent="0.45">
      <c r="A5" s="2">
        <v>43556</v>
      </c>
      <c r="B5" s="3">
        <f>-Sheet2!B5</f>
        <v>-0.55958455801010132</v>
      </c>
      <c r="C5">
        <f>STANDARDIZE(Sheet2!C5,AVERAGE(Sheet2!C$2:C$42),STDEV(Sheet2!C$2:C$42))</f>
        <v>0.53681995117222436</v>
      </c>
      <c r="D5">
        <f>STANDARDIZE(Sheet2!D5,AVERAGE(Sheet2!D$2:D$42),STDEV(Sheet2!D$2:D$42))</f>
        <v>0.61553039883056004</v>
      </c>
    </row>
    <row r="6" spans="1:6" x14ac:dyDescent="0.45">
      <c r="A6" s="2">
        <v>43586</v>
      </c>
      <c r="B6" s="3">
        <f>-Sheet2!B6</f>
        <v>-1.1733860969543457</v>
      </c>
      <c r="C6">
        <f>STANDARDIZE(Sheet2!C6,AVERAGE(Sheet2!C$2:C$42),STDEV(Sheet2!C$2:C$42))</f>
        <v>0.51806706585741402</v>
      </c>
      <c r="D6">
        <f>STANDARDIZE(Sheet2!D6,AVERAGE(Sheet2!D$2:D$42),STDEV(Sheet2!D$2:D$42))</f>
        <v>0.24317146801570494</v>
      </c>
    </row>
    <row r="7" spans="1:6" x14ac:dyDescent="0.45">
      <c r="A7" s="2">
        <v>43617</v>
      </c>
      <c r="B7" s="3">
        <f>-Sheet2!B7</f>
        <v>-1.2943308353424072</v>
      </c>
      <c r="C7">
        <f>STANDARDIZE(Sheet2!C7,AVERAGE(Sheet2!C$2:C$42),STDEV(Sheet2!C$2:C$42))</f>
        <v>0.81744094760144659</v>
      </c>
      <c r="D7">
        <f>STANDARDIZE(Sheet2!D7,AVERAGE(Sheet2!D$2:D$42),STDEV(Sheet2!D$2:D$42))</f>
        <v>0.77466079143718791</v>
      </c>
    </row>
    <row r="8" spans="1:6" x14ac:dyDescent="0.45">
      <c r="A8" s="2">
        <v>43647</v>
      </c>
      <c r="B8" s="3">
        <f>-Sheet2!B8</f>
        <v>-0.75657021999359131</v>
      </c>
      <c r="C8">
        <f>STANDARDIZE(Sheet2!C8,AVERAGE(Sheet2!C$2:C$42),STDEV(Sheet2!C$2:C$42))</f>
        <v>1.1981429905619183</v>
      </c>
      <c r="D8">
        <f>STANDARDIZE(Sheet2!D8,AVERAGE(Sheet2!D$2:D$42),STDEV(Sheet2!D$2:D$42))</f>
        <v>1.3253515702664214</v>
      </c>
    </row>
    <row r="9" spans="1:6" x14ac:dyDescent="0.45">
      <c r="A9" s="2">
        <v>43678</v>
      </c>
      <c r="B9" s="3">
        <f>-Sheet2!B9</f>
        <v>-1.2167065143585205</v>
      </c>
      <c r="C9">
        <f>STANDARDIZE(Sheet2!C9,AVERAGE(Sheet2!C$2:C$42),STDEV(Sheet2!C$2:C$42))</f>
        <v>-0.40156185625748747</v>
      </c>
      <c r="D9">
        <f>STANDARDIZE(Sheet2!D9,AVERAGE(Sheet2!D$2:D$42),STDEV(Sheet2!D$2:D$42))</f>
        <v>-0.90955165651359993</v>
      </c>
    </row>
    <row r="10" spans="1:6" x14ac:dyDescent="0.45">
      <c r="A10" s="2">
        <v>43709</v>
      </c>
      <c r="B10" s="3">
        <f>-Sheet2!B10</f>
        <v>-0.72633862495422363</v>
      </c>
      <c r="C10">
        <f>STANDARDIZE(Sheet2!C10,AVERAGE(Sheet2!C$2:C$42),STDEV(Sheet2!C$2:C$42))</f>
        <v>-8.9376818572742406E-2</v>
      </c>
      <c r="D10">
        <f>STANDARDIZE(Sheet2!D10,AVERAGE(Sheet2!D$2:D$42),STDEV(Sheet2!D$2:D$42))</f>
        <v>-0.28797977032022237</v>
      </c>
    </row>
    <row r="11" spans="1:6" x14ac:dyDescent="0.45">
      <c r="A11" s="2">
        <v>43739</v>
      </c>
      <c r="B11" s="3">
        <f>-Sheet2!B11</f>
        <v>-0.6726645827293396</v>
      </c>
      <c r="C11">
        <f>STANDARDIZE(Sheet2!C11,AVERAGE(Sheet2!C$2:C$42),STDEV(Sheet2!C$2:C$42))</f>
        <v>-0.14763632828042728</v>
      </c>
      <c r="D11">
        <f>STANDARDIZE(Sheet2!D11,AVERAGE(Sheet2!D$2:D$42),STDEV(Sheet2!D$2:D$42))</f>
        <v>-0.28566312086633822</v>
      </c>
    </row>
    <row r="12" spans="1:6" x14ac:dyDescent="0.45">
      <c r="A12" s="2">
        <v>43770</v>
      </c>
      <c r="B12" s="3">
        <f>-Sheet2!B12</f>
        <v>-0.6029929518699646</v>
      </c>
      <c r="C12">
        <f>STANDARDIZE(Sheet2!C12,AVERAGE(Sheet2!C$2:C$42),STDEV(Sheet2!C$2:C$42))</f>
        <v>-0.24528386049258552</v>
      </c>
      <c r="D12">
        <f>STANDARDIZE(Sheet2!D12,AVERAGE(Sheet2!D$2:D$42),STDEV(Sheet2!D$2:D$42))</f>
        <v>-0.39220290337497499</v>
      </c>
    </row>
    <row r="13" spans="1:6" x14ac:dyDescent="0.45">
      <c r="A13" s="2">
        <v>43800</v>
      </c>
      <c r="B13" s="3">
        <f>-Sheet2!B13</f>
        <v>-0.60188329219818115</v>
      </c>
      <c r="C13">
        <f>STANDARDIZE(Sheet2!C13,AVERAGE(Sheet2!C$2:C$42),STDEV(Sheet2!C$2:C$42))</f>
        <v>0.31030496439341654</v>
      </c>
      <c r="D13">
        <f>STANDARDIZE(Sheet2!D13,AVERAGE(Sheet2!D$2:D$42),STDEV(Sheet2!D$2:D$42))</f>
        <v>0.28814036788829667</v>
      </c>
    </row>
    <row r="14" spans="1:6" x14ac:dyDescent="0.45">
      <c r="A14" s="2">
        <v>43831</v>
      </c>
      <c r="B14" s="3">
        <f>-Sheet2!B14</f>
        <v>-1.2574454545974731</v>
      </c>
      <c r="C14">
        <f>STANDARDIZE(Sheet2!C14,AVERAGE(Sheet2!C$2:C$42),STDEV(Sheet2!C$2:C$42))</f>
        <v>-1.4315311001580202</v>
      </c>
      <c r="D14">
        <f>STANDARDIZE(Sheet2!D14,AVERAGE(Sheet2!D$2:D$42),STDEV(Sheet2!D$2:D$42))</f>
        <v>-1.1023710572188803</v>
      </c>
    </row>
    <row r="15" spans="1:6" x14ac:dyDescent="0.45">
      <c r="A15" s="2">
        <v>43862</v>
      </c>
      <c r="B15" s="3">
        <f>-Sheet2!B15</f>
        <v>-0.87382966279983521</v>
      </c>
      <c r="C15">
        <f>STANDARDIZE(Sheet2!C15,AVERAGE(Sheet2!C$2:C$42),STDEV(Sheet2!C$2:C$42))</f>
        <v>-3.9678896775876447</v>
      </c>
      <c r="D15">
        <f>STANDARDIZE(Sheet2!D15,AVERAGE(Sheet2!D$2:D$42),STDEV(Sheet2!D$2:D$42))</f>
        <v>-3.609566438514543</v>
      </c>
    </row>
    <row r="16" spans="1:6" x14ac:dyDescent="0.45">
      <c r="A16" s="2">
        <v>43891</v>
      </c>
      <c r="B16" s="3">
        <f>-Sheet2!B16</f>
        <v>-0.67128443717956543</v>
      </c>
      <c r="C16">
        <f>STANDARDIZE(Sheet2!C16,AVERAGE(Sheet2!C$2:C$42),STDEV(Sheet2!C$2:C$42))</f>
        <v>-2.3856671904666418</v>
      </c>
      <c r="D16">
        <f>STANDARDIZE(Sheet2!D16,AVERAGE(Sheet2!D$2:D$42),STDEV(Sheet2!D$2:D$42))</f>
        <v>-2.2932053590085051</v>
      </c>
    </row>
    <row r="17" spans="1:4" x14ac:dyDescent="0.45">
      <c r="A17" s="2">
        <v>43922</v>
      </c>
      <c r="B17" s="3">
        <f>-Sheet2!B17</f>
        <v>-0.60350030660629272</v>
      </c>
      <c r="C17">
        <f>STANDARDIZE(Sheet2!C17,AVERAGE(Sheet2!C$2:C$42),STDEV(Sheet2!C$2:C$42))</f>
        <v>-1.6747287952273389</v>
      </c>
      <c r="D17">
        <f>STANDARDIZE(Sheet2!D17,AVERAGE(Sheet2!D$2:D$42),STDEV(Sheet2!D$2:D$42))</f>
        <v>-1.6510074492687559</v>
      </c>
    </row>
    <row r="18" spans="1:4" x14ac:dyDescent="0.45">
      <c r="A18" s="2">
        <v>43952</v>
      </c>
      <c r="B18" s="3">
        <f>-Sheet2!B18</f>
        <v>-0.76153570413589478</v>
      </c>
      <c r="C18">
        <f>STANDARDIZE(Sheet2!C18,AVERAGE(Sheet2!C$2:C$42),STDEV(Sheet2!C$2:C$42))</f>
        <v>-1.3059067712095762</v>
      </c>
      <c r="D18">
        <f>STANDARDIZE(Sheet2!D18,AVERAGE(Sheet2!D$2:D$42),STDEV(Sheet2!D$2:D$42))</f>
        <v>-1.5115039304384226</v>
      </c>
    </row>
    <row r="19" spans="1:4" x14ac:dyDescent="0.45">
      <c r="A19" s="2">
        <v>43983</v>
      </c>
      <c r="B19" s="3">
        <f>-Sheet2!B19</f>
        <v>-0.77057957649230957</v>
      </c>
      <c r="C19">
        <f>STANDARDIZE(Sheet2!C19,AVERAGE(Sheet2!C$2:C$42),STDEV(Sheet2!C$2:C$42))</f>
        <v>-1.0805843567453035</v>
      </c>
      <c r="D19">
        <f>STANDARDIZE(Sheet2!D19,AVERAGE(Sheet2!D$2:D$42),STDEV(Sheet2!D$2:D$42))</f>
        <v>-1.1613058963226421</v>
      </c>
    </row>
    <row r="20" spans="1:4" x14ac:dyDescent="0.45">
      <c r="A20" s="2">
        <v>44013</v>
      </c>
      <c r="B20" s="3">
        <f>-Sheet2!B20</f>
        <v>-0.92713445425033569</v>
      </c>
      <c r="C20">
        <f>STANDARDIZE(Sheet2!C20,AVERAGE(Sheet2!C$2:C$42),STDEV(Sheet2!C$2:C$42))</f>
        <v>-1.0447601039552525</v>
      </c>
      <c r="D20">
        <f>STANDARDIZE(Sheet2!D20,AVERAGE(Sheet2!D$2:D$42),STDEV(Sheet2!D$2:D$42))</f>
        <v>-1.2610718539506622</v>
      </c>
    </row>
    <row r="21" spans="1:4" x14ac:dyDescent="0.45">
      <c r="A21" s="2">
        <v>44044</v>
      </c>
      <c r="B21" s="3">
        <f>-Sheet2!B21</f>
        <v>-0.66343116760253906</v>
      </c>
      <c r="C21">
        <f>STANDARDIZE(Sheet2!C21,AVERAGE(Sheet2!C$2:C$42),STDEV(Sheet2!C$2:C$42))</f>
        <v>-4.9773976792996881E-2</v>
      </c>
      <c r="D21">
        <f>STANDARDIZE(Sheet2!D21,AVERAGE(Sheet2!D$2:D$42),STDEV(Sheet2!D$2:D$42))</f>
        <v>-0.12405874042939395</v>
      </c>
    </row>
    <row r="22" spans="1:4" x14ac:dyDescent="0.45">
      <c r="A22" s="2">
        <v>44075</v>
      </c>
      <c r="B22" s="3">
        <f>-Sheet2!B22</f>
        <v>-0.86036926507949829</v>
      </c>
      <c r="C22">
        <f>STANDARDIZE(Sheet2!C22,AVERAGE(Sheet2!C$2:C$42),STDEV(Sheet2!C$2:C$42))</f>
        <v>6.3120422463872256E-2</v>
      </c>
      <c r="D22">
        <f>STANDARDIZE(Sheet2!D22,AVERAGE(Sheet2!D$2:D$42),STDEV(Sheet2!D$2:D$42))</f>
        <v>4.834844825086082E-2</v>
      </c>
    </row>
    <row r="23" spans="1:4" x14ac:dyDescent="0.45">
      <c r="A23" s="2">
        <v>44105</v>
      </c>
      <c r="B23" s="3">
        <f>-Sheet2!B23</f>
        <v>-0.64959716796875</v>
      </c>
      <c r="C23">
        <f>STANDARDIZE(Sheet2!C23,AVERAGE(Sheet2!C$2:C$42),STDEV(Sheet2!C$2:C$42))</f>
        <v>0.71801527062445392</v>
      </c>
      <c r="D23">
        <f>STANDARDIZE(Sheet2!D23,AVERAGE(Sheet2!D$2:D$42),STDEV(Sheet2!D$2:D$42))</f>
        <v>0.79345040719480575</v>
      </c>
    </row>
    <row r="24" spans="1:4" x14ac:dyDescent="0.45">
      <c r="A24" s="2">
        <v>44136</v>
      </c>
      <c r="B24" s="3">
        <f>-Sheet2!B24</f>
        <v>-0.41756528615951538</v>
      </c>
      <c r="C24">
        <f>STANDARDIZE(Sheet2!C24,AVERAGE(Sheet2!C$2:C$42),STDEV(Sheet2!C$2:C$42))</f>
        <v>0.87023284500408449</v>
      </c>
      <c r="D24">
        <f>STANDARDIZE(Sheet2!D24,AVERAGE(Sheet2!D$2:D$42),STDEV(Sheet2!D$2:D$42))</f>
        <v>0.98146810214963831</v>
      </c>
    </row>
    <row r="25" spans="1:4" x14ac:dyDescent="0.45">
      <c r="A25" s="2">
        <v>44166</v>
      </c>
      <c r="B25" s="3">
        <f>-Sheet2!B25</f>
        <v>-0.59490084648132324</v>
      </c>
      <c r="C25">
        <f>STANDARDIZE(Sheet2!C25,AVERAGE(Sheet2!C$2:C$42),STDEV(Sheet2!C$2:C$42))</f>
        <v>0.2591086109056211</v>
      </c>
      <c r="D25">
        <f>STANDARDIZE(Sheet2!D25,AVERAGE(Sheet2!D$2:D$42),STDEV(Sheet2!D$2:D$42))</f>
        <v>0.25576337504482971</v>
      </c>
    </row>
    <row r="26" spans="1:4" x14ac:dyDescent="0.45">
      <c r="A26" s="2">
        <v>44197</v>
      </c>
      <c r="B26" s="3">
        <f>-Sheet2!B26</f>
        <v>-0.80387318134307861</v>
      </c>
      <c r="C26">
        <f>STANDARDIZE(Sheet2!C26,AVERAGE(Sheet2!C$2:C$42),STDEV(Sheet2!C$2:C$42))</f>
        <v>4.1144953201755305E-2</v>
      </c>
      <c r="D26">
        <f>STANDARDIZE(Sheet2!D26,AVERAGE(Sheet2!D$2:D$42),STDEV(Sheet2!D$2:D$42))</f>
        <v>3.9651221277608006E-2</v>
      </c>
    </row>
    <row r="27" spans="1:4" x14ac:dyDescent="0.45">
      <c r="A27" s="2">
        <v>44228</v>
      </c>
      <c r="B27" s="3">
        <f>-Sheet2!B27</f>
        <v>-0.73551487922668457</v>
      </c>
      <c r="C27">
        <f>STANDARDIZE(Sheet2!C27,AVERAGE(Sheet2!C$2:C$42),STDEV(Sheet2!C$2:C$42))</f>
        <v>0.33871518044834242</v>
      </c>
      <c r="D27">
        <f>STANDARDIZE(Sheet2!D27,AVERAGE(Sheet2!D$2:D$42),STDEV(Sheet2!D$2:D$42))</f>
        <v>0.3605072990086301</v>
      </c>
    </row>
    <row r="28" spans="1:4" x14ac:dyDescent="0.45">
      <c r="A28" s="2">
        <v>44256</v>
      </c>
      <c r="B28" s="3">
        <f>-Sheet2!B28</f>
        <v>-0.86440986394882202</v>
      </c>
      <c r="C28">
        <f>STANDARDIZE(Sheet2!C28,AVERAGE(Sheet2!C$2:C$42),STDEV(Sheet2!C$2:C$42))</f>
        <v>-7.1804881740769641E-2</v>
      </c>
      <c r="D28">
        <f>STANDARDIZE(Sheet2!D28,AVERAGE(Sheet2!D$2:D$42),STDEV(Sheet2!D$2:D$42))</f>
        <v>-7.3769028673219397E-2</v>
      </c>
    </row>
    <row r="29" spans="1:4" x14ac:dyDescent="0.45">
      <c r="A29" s="2">
        <v>44287</v>
      </c>
      <c r="B29" s="3">
        <f>-Sheet2!B29</f>
        <v>-0.75688183307647705</v>
      </c>
      <c r="C29">
        <f>STANDARDIZE(Sheet2!C29,AVERAGE(Sheet2!C$2:C$42),STDEV(Sheet2!C$2:C$42))</f>
        <v>0.43711156595298672</v>
      </c>
      <c r="D29">
        <f>STANDARDIZE(Sheet2!D29,AVERAGE(Sheet2!D$2:D$42),STDEV(Sheet2!D$2:D$42))</f>
        <v>0.49164057080470602</v>
      </c>
    </row>
    <row r="30" spans="1:4" x14ac:dyDescent="0.45">
      <c r="A30" s="2">
        <v>44317</v>
      </c>
      <c r="B30" s="3">
        <f>-Sheet2!B30</f>
        <v>-0.64822208881378174</v>
      </c>
      <c r="C30">
        <f>STANDARDIZE(Sheet2!C30,AVERAGE(Sheet2!C$2:C$42),STDEV(Sheet2!C$2:C$42))</f>
        <v>0.52220052135566997</v>
      </c>
      <c r="D30">
        <f>STANDARDIZE(Sheet2!D30,AVERAGE(Sheet2!D$2:D$42),STDEV(Sheet2!D$2:D$42))</f>
        <v>0.60545807389756345</v>
      </c>
    </row>
    <row r="31" spans="1:4" x14ac:dyDescent="0.45">
      <c r="A31" s="2">
        <v>44348</v>
      </c>
      <c r="B31" s="3">
        <f>-Sheet2!B31</f>
        <v>-0.75659006834030151</v>
      </c>
      <c r="C31">
        <f>STANDARDIZE(Sheet2!C31,AVERAGE(Sheet2!C$2:C$42),STDEV(Sheet2!C$2:C$42))</f>
        <v>0.51959233681866002</v>
      </c>
      <c r="D31">
        <f>STANDARDIZE(Sheet2!D31,AVERAGE(Sheet2!D$2:D$42),STDEV(Sheet2!D$2:D$42))</f>
        <v>0.57068714532590237</v>
      </c>
    </row>
    <row r="32" spans="1:4" x14ac:dyDescent="0.45">
      <c r="A32" s="2">
        <v>44378</v>
      </c>
      <c r="B32" s="3">
        <f>-Sheet2!B32</f>
        <v>-0.54320073127746582</v>
      </c>
      <c r="C32">
        <f>STANDARDIZE(Sheet2!C32,AVERAGE(Sheet2!C$2:C$42),STDEV(Sheet2!C$2:C$42))</f>
        <v>0.4981897454160617</v>
      </c>
      <c r="D32">
        <f>STANDARDIZE(Sheet2!D32,AVERAGE(Sheet2!D$2:D$42),STDEV(Sheet2!D$2:D$42))</f>
        <v>0.62242176947976346</v>
      </c>
    </row>
    <row r="33" spans="1:4" x14ac:dyDescent="0.45">
      <c r="A33" s="2">
        <v>44409</v>
      </c>
      <c r="B33" s="3">
        <f>-Sheet2!B33</f>
        <v>-0.60506051778793335</v>
      </c>
      <c r="C33">
        <f>STANDARDIZE(Sheet2!C33,AVERAGE(Sheet2!C$2:C$42),STDEV(Sheet2!C$2:C$42))</f>
        <v>0.4885478595340173</v>
      </c>
      <c r="D33">
        <f>STANDARDIZE(Sheet2!D33,AVERAGE(Sheet2!D$2:D$42),STDEV(Sheet2!D$2:D$42))</f>
        <v>0.56161729781054659</v>
      </c>
    </row>
    <row r="34" spans="1:4" x14ac:dyDescent="0.45">
      <c r="A34" s="2">
        <v>44440</v>
      </c>
      <c r="B34" s="3">
        <f>-Sheet2!B34</f>
        <v>-0.85758334398269653</v>
      </c>
      <c r="C34">
        <f>STANDARDIZE(Sheet2!C34,AVERAGE(Sheet2!C$2:C$42),STDEV(Sheet2!C$2:C$42))</f>
        <v>0.57298297163731793</v>
      </c>
      <c r="D34">
        <f>STANDARDIZE(Sheet2!D34,AVERAGE(Sheet2!D$2:D$42),STDEV(Sheet2!D$2:D$42))</f>
        <v>0.62819312506641067</v>
      </c>
    </row>
    <row r="35" spans="1:4" x14ac:dyDescent="0.45">
      <c r="A35" s="2">
        <v>44470</v>
      </c>
      <c r="B35" s="3">
        <f>-Sheet2!B35</f>
        <v>-0.79255366325378418</v>
      </c>
      <c r="C35">
        <f>STANDARDIZE(Sheet2!C35,AVERAGE(Sheet2!C$2:C$42),STDEV(Sheet2!C$2:C$42))</f>
        <v>0.80574103208583236</v>
      </c>
      <c r="D35">
        <f>STANDARDIZE(Sheet2!D35,AVERAGE(Sheet2!D$2:D$42),STDEV(Sheet2!D$2:D$42))</f>
        <v>0.91104182302748904</v>
      </c>
    </row>
    <row r="36" spans="1:4" x14ac:dyDescent="0.45">
      <c r="A36" s="2">
        <v>44501</v>
      </c>
      <c r="B36" s="3">
        <f>-Sheet2!B36</f>
        <v>-0.81423693895339966</v>
      </c>
      <c r="C36">
        <f>STANDARDIZE(Sheet2!C36,AVERAGE(Sheet2!C$2:C$42),STDEV(Sheet2!C$2:C$42))</f>
        <v>0.91811864872560334</v>
      </c>
      <c r="D36">
        <f>STANDARDIZE(Sheet2!D36,AVERAGE(Sheet2!D$2:D$42),STDEV(Sheet2!D$2:D$42))</f>
        <v>1.0464611100340815</v>
      </c>
    </row>
    <row r="37" spans="1:4" x14ac:dyDescent="0.45">
      <c r="A37" s="2">
        <v>44531</v>
      </c>
      <c r="B37" s="3">
        <f>-Sheet2!B37</f>
        <v>-0.88293498754501343</v>
      </c>
      <c r="C37">
        <f>STANDARDIZE(Sheet2!C37,AVERAGE(Sheet2!C$2:C$42),STDEV(Sheet2!C$2:C$42))</f>
        <v>0.7659524583695414</v>
      </c>
      <c r="D37">
        <f>STANDARDIZE(Sheet2!D37,AVERAGE(Sheet2!D$2:D$42),STDEV(Sheet2!D$2:D$42))</f>
        <v>0.8597911678121557</v>
      </c>
    </row>
    <row r="38" spans="1:4" x14ac:dyDescent="0.45">
      <c r="A38" s="2">
        <v>44562</v>
      </c>
      <c r="B38" s="3">
        <f>-Sheet2!B38</f>
        <v>-0.8261566162109375</v>
      </c>
      <c r="C38">
        <f>STANDARDIZE(Sheet2!C38,AVERAGE(Sheet2!C$2:C$42),STDEV(Sheet2!C$2:C$42))</f>
        <v>0.79895678739049514</v>
      </c>
      <c r="D38">
        <f>STANDARDIZE(Sheet2!D38,AVERAGE(Sheet2!D$2:D$42),STDEV(Sheet2!D$2:D$42))</f>
        <v>0.89797432097891339</v>
      </c>
    </row>
    <row r="39" spans="1:4" x14ac:dyDescent="0.45">
      <c r="A39" s="2">
        <v>44593</v>
      </c>
      <c r="B39" s="3">
        <f>-Sheet2!B39</f>
        <v>-1.5198043584823608</v>
      </c>
      <c r="C39">
        <f>STANDARDIZE(Sheet2!C39,AVERAGE(Sheet2!C$2:C$42),STDEV(Sheet2!C$2:C$42))</f>
        <v>0.61407780327133299</v>
      </c>
      <c r="D39">
        <f>STANDARDIZE(Sheet2!D39,AVERAGE(Sheet2!D$2:D$42),STDEV(Sheet2!D$2:D$42))</f>
        <v>0.6451257953343299</v>
      </c>
    </row>
    <row r="40" spans="1:4" x14ac:dyDescent="0.45">
      <c r="A40" s="2">
        <v>44621</v>
      </c>
      <c r="B40" s="3">
        <f>-Sheet2!B40</f>
        <v>-2.6001195907592773</v>
      </c>
      <c r="C40">
        <f>STANDARDIZE(Sheet2!C40,AVERAGE(Sheet2!C$2:C$42),STDEV(Sheet2!C$2:C$42))</f>
        <v>0.1031252554587328</v>
      </c>
      <c r="D40">
        <f>STANDARDIZE(Sheet2!D40,AVERAGE(Sheet2!D$2:D$42),STDEV(Sheet2!D$2:D$42))</f>
        <v>7.5044562579447527E-2</v>
      </c>
    </row>
    <row r="41" spans="1:4" x14ac:dyDescent="0.45">
      <c r="A41" s="2">
        <v>44652</v>
      </c>
      <c r="B41" s="3">
        <f>-Sheet2!B41</f>
        <v>-1.1504693031311035</v>
      </c>
      <c r="C41">
        <f>STANDARDIZE(Sheet2!C41,AVERAGE(Sheet2!C$2:C$42),STDEV(Sheet2!C$2:C$42))</f>
        <v>0.37607583286333474</v>
      </c>
      <c r="D41">
        <f>STANDARDIZE(Sheet2!D41,AVERAGE(Sheet2!D$2:D$42),STDEV(Sheet2!D$2:D$42))</f>
        <v>0.40760628560167245</v>
      </c>
    </row>
    <row r="42" spans="1:4" x14ac:dyDescent="0.45">
      <c r="A42" s="2">
        <v>44682</v>
      </c>
      <c r="B42" s="3">
        <f>-Sheet2!B42</f>
        <v>-0.95703125</v>
      </c>
      <c r="C42">
        <f>STANDARDIZE(Sheet2!C42,AVERAGE(Sheet2!C$2:C$42),STDEV(Sheet2!C$2:C$42))</f>
        <v>0.5399862952394815</v>
      </c>
      <c r="D42">
        <f>STANDARDIZE(Sheet2!D42,AVERAGE(Sheet2!D$2:D$42),STDEV(Sheet2!D$2:D$42))</f>
        <v>0.5850300142951449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2022-06-30T11:16:30Z</dcterms:created>
  <dcterms:modified xsi:type="dcterms:W3CDTF">2022-07-01T08:31:14Z</dcterms:modified>
</cp:coreProperties>
</file>