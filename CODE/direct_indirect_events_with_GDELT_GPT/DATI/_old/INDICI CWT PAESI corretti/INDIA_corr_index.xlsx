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INDICI CORRETTI PAESI\"/>
    </mc:Choice>
  </mc:AlternateContent>
  <xr:revisionPtr revIDLastSave="0" documentId="13_ncr:1_{35319B24-34AB-4348-AF73-B21DC55B88A4}" xr6:coauthVersionLast="36" xr6:coauthVersionMax="36" xr10:uidLastSave="{00000000-0000-0000-0000-000000000000}"/>
  <bookViews>
    <workbookView xWindow="0" yWindow="0" windowWidth="20520" windowHeight="8865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2" i="3" l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D2" i="3"/>
  <c r="C2" i="3"/>
  <c r="B2" i="3"/>
</calcChain>
</file>

<file path=xl/sharedStrings.xml><?xml version="1.0" encoding="utf-8"?>
<sst xmlns="http://schemas.openxmlformats.org/spreadsheetml/2006/main" count="10" uniqueCount="7">
  <si>
    <t>CWT_ID</t>
  </si>
  <si>
    <t>month</t>
  </si>
  <si>
    <t>GPRC_IND</t>
  </si>
  <si>
    <t>CWT_corr</t>
  </si>
  <si>
    <t>CWT_stand</t>
  </si>
  <si>
    <t>CWT_corr_stand</t>
  </si>
  <si>
    <t xml:space="preserve"> -GPRC_IND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</si>
</sst>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Sheet2!$C$2:$C$42</c:f>
              <c:numCache>
                <c:formatCode>General</c:formatCode>
                <c:ptCount val="41"/>
                <c:pt idx="0">
                  <c:v>-421.17601811574769</c:v>
                </c:pt>
                <c:pt idx="1">
                  <c:v>-2034.932806555604</c:v>
                </c:pt>
                <c:pt idx="2">
                  <c:v>-1289.8752853770029</c:v>
                </c:pt>
                <c:pt idx="3">
                  <c:v>-931.22523743532031</c:v>
                </c:pt>
                <c:pt idx="4">
                  <c:v>-669.6095330450803</c:v>
                </c:pt>
                <c:pt idx="5">
                  <c:v>-614.06069592216443</c:v>
                </c:pt>
                <c:pt idx="6">
                  <c:v>-656.68498903887644</c:v>
                </c:pt>
                <c:pt idx="7">
                  <c:v>-1163.1512180801731</c:v>
                </c:pt>
                <c:pt idx="8">
                  <c:v>-706.92756628808354</c:v>
                </c:pt>
                <c:pt idx="9">
                  <c:v>-492.28135148790972</c:v>
                </c:pt>
                <c:pt idx="10">
                  <c:v>-415.76170383568927</c:v>
                </c:pt>
                <c:pt idx="11">
                  <c:v>-1135.8406759168181</c:v>
                </c:pt>
                <c:pt idx="12">
                  <c:v>-610.0558756244659</c:v>
                </c:pt>
                <c:pt idx="13">
                  <c:v>-583.45850680521198</c:v>
                </c:pt>
                <c:pt idx="14">
                  <c:v>-736.93088483256599</c:v>
                </c:pt>
                <c:pt idx="15">
                  <c:v>-745.39340940278589</c:v>
                </c:pt>
                <c:pt idx="16">
                  <c:v>-865.48762925803851</c:v>
                </c:pt>
                <c:pt idx="17">
                  <c:v>-1240.3804871992461</c:v>
                </c:pt>
                <c:pt idx="18">
                  <c:v>-860.00640469638381</c:v>
                </c:pt>
                <c:pt idx="19">
                  <c:v>-799.93896824803596</c:v>
                </c:pt>
                <c:pt idx="20">
                  <c:v>-814.67944435710638</c:v>
                </c:pt>
                <c:pt idx="21">
                  <c:v>-375.31134920943128</c:v>
                </c:pt>
                <c:pt idx="22">
                  <c:v>-282.96919078630373</c:v>
                </c:pt>
                <c:pt idx="23">
                  <c:v>-388.3753046934001</c:v>
                </c:pt>
                <c:pt idx="24">
                  <c:v>-448.85350557198109</c:v>
                </c:pt>
                <c:pt idx="25">
                  <c:v>-512.30004694744378</c:v>
                </c:pt>
                <c:pt idx="26">
                  <c:v>-381.92485505649171</c:v>
                </c:pt>
                <c:pt idx="27">
                  <c:v>-872.05742964349326</c:v>
                </c:pt>
                <c:pt idx="28">
                  <c:v>-1112.64610989832</c:v>
                </c:pt>
                <c:pt idx="29">
                  <c:v>-596.35725909475002</c:v>
                </c:pt>
                <c:pt idx="30">
                  <c:v>-557.87010512442828</c:v>
                </c:pt>
                <c:pt idx="31">
                  <c:v>-323.87276535558902</c:v>
                </c:pt>
                <c:pt idx="32">
                  <c:v>-328.51637800971548</c:v>
                </c:pt>
                <c:pt idx="33">
                  <c:v>-344.08618876071432</c:v>
                </c:pt>
                <c:pt idx="34">
                  <c:v>-315.2895485151131</c:v>
                </c:pt>
                <c:pt idx="35">
                  <c:v>-289.55674360377247</c:v>
                </c:pt>
                <c:pt idx="36">
                  <c:v>-267.48029844942818</c:v>
                </c:pt>
                <c:pt idx="37">
                  <c:v>-342.98574224120517</c:v>
                </c:pt>
                <c:pt idx="38">
                  <c:v>-348.45784539829299</c:v>
                </c:pt>
                <c:pt idx="39">
                  <c:v>-314.34016385380022</c:v>
                </c:pt>
                <c:pt idx="40">
                  <c:v>-315.93555763168177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B3-4BAF-BF84-0C497F28B28D}"/>
            </c:ext>
          </c:extLst>
        </c:ser>
        <c:ser>
          <c:idx val="1"/>
          <c:order val="1"/>
          <c:tx>
            <c:strRef>
              <c:f>Sheet2!$D$1</c:f>
              <c:strCache>
                <c:ptCount val="1"/>
                <c:pt idx="0">
                  <c:v>CWT_corr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Sheet2!$D$2:$D$42</c:f>
              <c:numCache>
                <c:formatCode>General</c:formatCode>
                <c:ptCount val="41"/>
                <c:pt idx="0">
                  <c:v>-148.8324104733976</c:v>
                </c:pt>
                <c:pt idx="1">
                  <c:v>-688.45976093073591</c:v>
                </c:pt>
                <c:pt idx="2">
                  <c:v>-443.49021696690409</c:v>
                </c:pt>
                <c:pt idx="3">
                  <c:v>-327.88184486291482</c:v>
                </c:pt>
                <c:pt idx="4">
                  <c:v>-222.64601583577709</c:v>
                </c:pt>
                <c:pt idx="5">
                  <c:v>-206.12653995670999</c:v>
                </c:pt>
                <c:pt idx="6">
                  <c:v>-219.18950275101241</c:v>
                </c:pt>
                <c:pt idx="7">
                  <c:v>-430.73785341432762</c:v>
                </c:pt>
                <c:pt idx="8">
                  <c:v>-258.48248297258289</c:v>
                </c:pt>
                <c:pt idx="9">
                  <c:v>-171.56379565703111</c:v>
                </c:pt>
                <c:pt idx="10">
                  <c:v>-140.9646796825397</c:v>
                </c:pt>
                <c:pt idx="11">
                  <c:v>-397.36184046920818</c:v>
                </c:pt>
                <c:pt idx="12">
                  <c:v>-212.1024319648094</c:v>
                </c:pt>
                <c:pt idx="13">
                  <c:v>-196.59293513957309</c:v>
                </c:pt>
                <c:pt idx="14">
                  <c:v>-251.41927619047621</c:v>
                </c:pt>
                <c:pt idx="15">
                  <c:v>-252.72927769119769</c:v>
                </c:pt>
                <c:pt idx="16">
                  <c:v>-282.39518357771271</c:v>
                </c:pt>
                <c:pt idx="17">
                  <c:v>-402.00071998557002</c:v>
                </c:pt>
                <c:pt idx="18">
                  <c:v>-284.52740217846667</c:v>
                </c:pt>
                <c:pt idx="19">
                  <c:v>-252.2638316436252</c:v>
                </c:pt>
                <c:pt idx="20">
                  <c:v>-264.50733681096682</c:v>
                </c:pt>
                <c:pt idx="21">
                  <c:v>-118.7296744877345</c:v>
                </c:pt>
                <c:pt idx="22">
                  <c:v>-93.837509552669559</c:v>
                </c:pt>
                <c:pt idx="23">
                  <c:v>-128.6286863985477</c:v>
                </c:pt>
                <c:pt idx="24">
                  <c:v>-148.64967335567661</c:v>
                </c:pt>
                <c:pt idx="25">
                  <c:v>-167.6106944959802</c:v>
                </c:pt>
                <c:pt idx="26">
                  <c:v>-124.7528400921659</c:v>
                </c:pt>
                <c:pt idx="27">
                  <c:v>-269.79654976911968</c:v>
                </c:pt>
                <c:pt idx="28">
                  <c:v>-332.12719592235732</c:v>
                </c:pt>
                <c:pt idx="29">
                  <c:v>-196.37687095238101</c:v>
                </c:pt>
                <c:pt idx="30">
                  <c:v>-174.96401995531349</c:v>
                </c:pt>
                <c:pt idx="31">
                  <c:v>-105.5393701857283</c:v>
                </c:pt>
                <c:pt idx="32">
                  <c:v>-106.97748672438669</c:v>
                </c:pt>
                <c:pt idx="33">
                  <c:v>-108.3011268118978</c:v>
                </c:pt>
                <c:pt idx="34">
                  <c:v>-104.0585564935065</c:v>
                </c:pt>
                <c:pt idx="35">
                  <c:v>-92.486003993855604</c:v>
                </c:pt>
                <c:pt idx="36">
                  <c:v>-85.856609817064651</c:v>
                </c:pt>
                <c:pt idx="37">
                  <c:v>-120.1467347557205</c:v>
                </c:pt>
                <c:pt idx="38">
                  <c:v>-126.44893253735511</c:v>
                </c:pt>
                <c:pt idx="39">
                  <c:v>-115.05228603174599</c:v>
                </c:pt>
                <c:pt idx="40">
                  <c:v>-110.35100046176041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B3-4BAF-BF84-0C497F28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092095"/>
        <c:axId val="1977171663"/>
      </c:lineChart>
      <c:dateAx>
        <c:axId val="19700920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171663"/>
        <c:crosses val="autoZero"/>
        <c:auto val="1"/>
        <c:lblOffset val="100"/>
        <c:baseTimeUnit val="months"/>
      </c:dateAx>
      <c:valAx>
        <c:axId val="197717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09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INDIA</a:t>
            </a:r>
            <a:r>
              <a:rPr lang="en-US" baseline="0"/>
              <a:t>      CORR=0.2046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 -GPRC_IND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Sheet3!$B$2:$B$42</c:f>
              <c:numCache>
                <c:formatCode>#,##0.00</c:formatCode>
                <c:ptCount val="41"/>
                <c:pt idx="0">
                  <c:v>-8.9247770607471466E-2</c:v>
                </c:pt>
                <c:pt idx="1">
                  <c:v>-0.3635161817073822</c:v>
                </c:pt>
                <c:pt idx="2">
                  <c:v>-0.30866771936416626</c:v>
                </c:pt>
                <c:pt idx="3">
                  <c:v>-0.35365745425224304</c:v>
                </c:pt>
                <c:pt idx="4">
                  <c:v>-0.26218515634536743</c:v>
                </c:pt>
                <c:pt idx="5">
                  <c:v>-0.20709292590618134</c:v>
                </c:pt>
                <c:pt idx="6">
                  <c:v>-0.17255109548568726</c:v>
                </c:pt>
                <c:pt idx="7">
                  <c:v>-0.34510219097137451</c:v>
                </c:pt>
                <c:pt idx="8">
                  <c:v>-0.15501129627227783</c:v>
                </c:pt>
                <c:pt idx="9">
                  <c:v>-0.1681661456823349</c:v>
                </c:pt>
                <c:pt idx="10">
                  <c:v>-7.9225353896617889E-2</c:v>
                </c:pt>
                <c:pt idx="11">
                  <c:v>-9.2224054038524628E-2</c:v>
                </c:pt>
                <c:pt idx="12">
                  <c:v>-0.18089565634727478</c:v>
                </c:pt>
                <c:pt idx="13">
                  <c:v>-0.21399910748004913</c:v>
                </c:pt>
                <c:pt idx="14">
                  <c:v>-0.11971951276063919</c:v>
                </c:pt>
                <c:pt idx="15">
                  <c:v>-0.11605775356292725</c:v>
                </c:pt>
                <c:pt idx="16">
                  <c:v>-0.15320836007595062</c:v>
                </c:pt>
                <c:pt idx="17">
                  <c:v>-0.32299742102622986</c:v>
                </c:pt>
                <c:pt idx="18">
                  <c:v>-0.22953328490257263</c:v>
                </c:pt>
                <c:pt idx="19">
                  <c:v>-9.7956277430057526E-2</c:v>
                </c:pt>
                <c:pt idx="20">
                  <c:v>-0.21509231626987457</c:v>
                </c:pt>
                <c:pt idx="21">
                  <c:v>-0.11810857802629471</c:v>
                </c:pt>
                <c:pt idx="22">
                  <c:v>-0.18354517221450806</c:v>
                </c:pt>
                <c:pt idx="23">
                  <c:v>-0.11803588271141052</c:v>
                </c:pt>
                <c:pt idx="24">
                  <c:v>-0.14159131050109863</c:v>
                </c:pt>
                <c:pt idx="25">
                  <c:v>-0.13509456813335419</c:v>
                </c:pt>
                <c:pt idx="26">
                  <c:v>-0.32585084438323975</c:v>
                </c:pt>
                <c:pt idx="27">
                  <c:v>-0.18319432437419891</c:v>
                </c:pt>
                <c:pt idx="28">
                  <c:v>-0.31941378116607666</c:v>
                </c:pt>
                <c:pt idx="29">
                  <c:v>-0.1879427433013916</c:v>
                </c:pt>
                <c:pt idx="30">
                  <c:v>-0.19035238027572632</c:v>
                </c:pt>
                <c:pt idx="31">
                  <c:v>-0.15001499652862549</c:v>
                </c:pt>
                <c:pt idx="32">
                  <c:v>-0.44324532151222229</c:v>
                </c:pt>
                <c:pt idx="33">
                  <c:v>-0.26264861226081848</c:v>
                </c:pt>
                <c:pt idx="34">
                  <c:v>-0.16089712083339691</c:v>
                </c:pt>
                <c:pt idx="35">
                  <c:v>-0.15223017334938049</c:v>
                </c:pt>
                <c:pt idx="36">
                  <c:v>-0.22030843794345856</c:v>
                </c:pt>
                <c:pt idx="37">
                  <c:v>-0.17175871133804321</c:v>
                </c:pt>
                <c:pt idx="38">
                  <c:v>-0.47818291187286377</c:v>
                </c:pt>
                <c:pt idx="39">
                  <c:v>-0.43596729636192322</c:v>
                </c:pt>
                <c:pt idx="40">
                  <c:v>-0.33203125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2-4759-923A-6D176EE3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761647"/>
        <c:axId val="2075772751"/>
      </c:lineChart>
      <c:lineChart>
        <c:grouping val="standard"/>
        <c:varyColors val="0"/>
        <c:ser>
          <c:idx val="1"/>
          <c:order val="1"/>
          <c:tx>
            <c:strRef>
              <c:f>Sheet3!$D$1</c:f>
              <c:strCache>
                <c:ptCount val="1"/>
                <c:pt idx="0">
                  <c:v>CWT_corr_stand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Sheet3!$A$2:$A$42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Sheet3!$D$2:$D$42</c:f>
              <c:numCache>
                <c:formatCode>General</c:formatCode>
                <c:ptCount val="41"/>
                <c:pt idx="0">
                  <c:v>0.5471452339568974</c:v>
                </c:pt>
                <c:pt idx="1">
                  <c:v>-3.8028867847849286</c:v>
                </c:pt>
                <c:pt idx="2">
                  <c:v>-1.8281437348707126</c:v>
                </c:pt>
                <c:pt idx="3">
                  <c:v>-0.89620409196573203</c:v>
                </c:pt>
                <c:pt idx="4">
                  <c:v>-4.7879363059908024E-2</c:v>
                </c:pt>
                <c:pt idx="5">
                  <c:v>8.528706919352215E-2</c:v>
                </c:pt>
                <c:pt idx="6">
                  <c:v>-2.0015796509429511E-2</c:v>
                </c:pt>
                <c:pt idx="7">
                  <c:v>-1.7253446648804127</c:v>
                </c:pt>
                <c:pt idx="8">
                  <c:v>-0.33676349643746317</c:v>
                </c:pt>
                <c:pt idx="9">
                  <c:v>0.36390349631080543</c:v>
                </c:pt>
                <c:pt idx="10">
                  <c:v>0.61056841075856794</c:v>
                </c:pt>
                <c:pt idx="11">
                  <c:v>-1.4562946902151843</c:v>
                </c:pt>
                <c:pt idx="12">
                  <c:v>3.7114341191977061E-2</c:v>
                </c:pt>
                <c:pt idx="13">
                  <c:v>0.16213915271640039</c:v>
                </c:pt>
                <c:pt idx="14">
                  <c:v>-0.2798257307161397</c:v>
                </c:pt>
                <c:pt idx="15">
                  <c:v>-0.29038588573405849</c:v>
                </c:pt>
                <c:pt idx="16">
                  <c:v>-0.52952802773622554</c:v>
                </c:pt>
                <c:pt idx="17">
                  <c:v>-1.4936895227976277</c:v>
                </c:pt>
                <c:pt idx="18">
                  <c:v>-0.54671622098917272</c:v>
                </c:pt>
                <c:pt idx="19">
                  <c:v>-0.28663384238743927</c:v>
                </c:pt>
                <c:pt idx="20">
                  <c:v>-0.38533091445843259</c:v>
                </c:pt>
                <c:pt idx="21">
                  <c:v>0.78980874105746768</c:v>
                </c:pt>
                <c:pt idx="22">
                  <c:v>0.99046890847034152</c:v>
                </c:pt>
                <c:pt idx="23">
                  <c:v>0.71001104598243192</c:v>
                </c:pt>
                <c:pt idx="24">
                  <c:v>0.54861831035383168</c:v>
                </c:pt>
                <c:pt idx="25">
                  <c:v>0.39577014763847274</c:v>
                </c:pt>
                <c:pt idx="26">
                  <c:v>0.74125493219056071</c:v>
                </c:pt>
                <c:pt idx="27">
                  <c:v>-0.42796820054559892</c:v>
                </c:pt>
                <c:pt idx="28">
                  <c:v>-0.93042662168688706</c:v>
                </c:pt>
                <c:pt idx="29">
                  <c:v>0.16388088454595348</c:v>
                </c:pt>
                <c:pt idx="30">
                  <c:v>0.33649368367640731</c:v>
                </c:pt>
                <c:pt idx="31">
                  <c:v>0.89613812929556669</c:v>
                </c:pt>
                <c:pt idx="32">
                  <c:v>0.88454521617775617</c:v>
                </c:pt>
                <c:pt idx="33">
                  <c:v>0.87387511808676122</c:v>
                </c:pt>
                <c:pt idx="34">
                  <c:v>0.90807523175988181</c:v>
                </c:pt>
                <c:pt idx="35">
                  <c:v>1.0013636350800392</c:v>
                </c:pt>
                <c:pt idx="36">
                  <c:v>1.0548043602572579</c:v>
                </c:pt>
                <c:pt idx="37">
                  <c:v>0.77838556628138988</c:v>
                </c:pt>
                <c:pt idx="38">
                  <c:v>0.7275824294216291</c:v>
                </c:pt>
                <c:pt idx="39">
                  <c:v>0.81945282324741642</c:v>
                </c:pt>
                <c:pt idx="40">
                  <c:v>0.8573507221240283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C2-4759-923A-6D176EE37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4758047"/>
        <c:axId val="2075773167"/>
      </c:lineChart>
      <c:dateAx>
        <c:axId val="19747616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772751"/>
        <c:crosses val="autoZero"/>
        <c:auto val="1"/>
        <c:lblOffset val="100"/>
        <c:baseTimeUnit val="months"/>
      </c:dateAx>
      <c:valAx>
        <c:axId val="207577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61647"/>
        <c:crosses val="autoZero"/>
        <c:crossBetween val="between"/>
      </c:valAx>
      <c:valAx>
        <c:axId val="2075773167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58047"/>
        <c:crosses val="max"/>
        <c:crossBetween val="between"/>
      </c:valAx>
      <c:dateAx>
        <c:axId val="197475804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75773167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6</xdr:row>
      <xdr:rowOff>164306</xdr:rowOff>
    </xdr:from>
    <xdr:to>
      <xdr:col>13</xdr:col>
      <xdr:colOff>159543</xdr:colOff>
      <xdr:row>22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54570C-60C5-45F3-933B-9509E0DA2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9</xdr:row>
      <xdr:rowOff>159544</xdr:rowOff>
    </xdr:from>
    <xdr:to>
      <xdr:col>13</xdr:col>
      <xdr:colOff>297656</xdr:colOff>
      <xdr:row>25</xdr:row>
      <xdr:rowOff>7144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19254-BDBD-45FB-A80F-83580A0D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opLeftCell="A14" workbookViewId="0">
      <selection activeCell="B1" sqref="B1:B42"/>
    </sheetView>
  </sheetViews>
  <sheetFormatPr defaultRowHeight="14.25" x14ac:dyDescent="0.45"/>
  <sheetData>
    <row r="1" spans="1:2" x14ac:dyDescent="0.45">
      <c r="A1" t="s">
        <v>1</v>
      </c>
      <c r="B1" s="1" t="s">
        <v>3</v>
      </c>
    </row>
    <row r="2" spans="1:2" x14ac:dyDescent="0.45">
      <c r="A2" s="2">
        <v>43466</v>
      </c>
      <c r="B2">
        <v>-148.8324104733976</v>
      </c>
    </row>
    <row r="3" spans="1:2" x14ac:dyDescent="0.45">
      <c r="A3" s="2">
        <v>43497</v>
      </c>
      <c r="B3">
        <v>-688.45976093073591</v>
      </c>
    </row>
    <row r="4" spans="1:2" x14ac:dyDescent="0.45">
      <c r="A4" s="2">
        <v>43525</v>
      </c>
      <c r="B4">
        <v>-443.49021696690409</v>
      </c>
    </row>
    <row r="5" spans="1:2" x14ac:dyDescent="0.45">
      <c r="A5" s="2">
        <v>43556</v>
      </c>
      <c r="B5">
        <v>-327.88184486291482</v>
      </c>
    </row>
    <row r="6" spans="1:2" x14ac:dyDescent="0.45">
      <c r="A6" s="2">
        <v>43586</v>
      </c>
      <c r="B6">
        <v>-222.64601583577709</v>
      </c>
    </row>
    <row r="7" spans="1:2" x14ac:dyDescent="0.45">
      <c r="A7" s="2">
        <v>43617</v>
      </c>
      <c r="B7">
        <v>-206.12653995670999</v>
      </c>
    </row>
    <row r="8" spans="1:2" x14ac:dyDescent="0.45">
      <c r="A8" s="2">
        <v>43647</v>
      </c>
      <c r="B8">
        <v>-219.18950275101241</v>
      </c>
    </row>
    <row r="9" spans="1:2" x14ac:dyDescent="0.45">
      <c r="A9" s="2">
        <v>43678</v>
      </c>
      <c r="B9">
        <v>-430.73785341432762</v>
      </c>
    </row>
    <row r="10" spans="1:2" x14ac:dyDescent="0.45">
      <c r="A10" s="2">
        <v>43709</v>
      </c>
      <c r="B10">
        <v>-258.48248297258289</v>
      </c>
    </row>
    <row r="11" spans="1:2" x14ac:dyDescent="0.45">
      <c r="A11" s="2">
        <v>43739</v>
      </c>
      <c r="B11">
        <v>-171.56379565703111</v>
      </c>
    </row>
    <row r="12" spans="1:2" x14ac:dyDescent="0.45">
      <c r="A12" s="2">
        <v>43770</v>
      </c>
      <c r="B12">
        <v>-140.9646796825397</v>
      </c>
    </row>
    <row r="13" spans="1:2" x14ac:dyDescent="0.45">
      <c r="A13" s="2">
        <v>43800</v>
      </c>
      <c r="B13">
        <v>-397.36184046920818</v>
      </c>
    </row>
    <row r="14" spans="1:2" x14ac:dyDescent="0.45">
      <c r="A14" s="2">
        <v>43831</v>
      </c>
      <c r="B14">
        <v>-212.1024319648094</v>
      </c>
    </row>
    <row r="15" spans="1:2" x14ac:dyDescent="0.45">
      <c r="A15" s="2">
        <v>43862</v>
      </c>
      <c r="B15">
        <v>-196.59293513957309</v>
      </c>
    </row>
    <row r="16" spans="1:2" x14ac:dyDescent="0.45">
      <c r="A16" s="2">
        <v>43891</v>
      </c>
      <c r="B16">
        <v>-251.41927619047621</v>
      </c>
    </row>
    <row r="17" spans="1:2" x14ac:dyDescent="0.45">
      <c r="A17" s="2">
        <v>43922</v>
      </c>
      <c r="B17">
        <v>-252.72927769119769</v>
      </c>
    </row>
    <row r="18" spans="1:2" x14ac:dyDescent="0.45">
      <c r="A18" s="2">
        <v>43952</v>
      </c>
      <c r="B18">
        <v>-282.39518357771271</v>
      </c>
    </row>
    <row r="19" spans="1:2" x14ac:dyDescent="0.45">
      <c r="A19" s="2">
        <v>43983</v>
      </c>
      <c r="B19">
        <v>-402.00071998557002</v>
      </c>
    </row>
    <row r="20" spans="1:2" x14ac:dyDescent="0.45">
      <c r="A20" s="2">
        <v>44013</v>
      </c>
      <c r="B20">
        <v>-284.52740217846667</v>
      </c>
    </row>
    <row r="21" spans="1:2" x14ac:dyDescent="0.45">
      <c r="A21" s="2">
        <v>44044</v>
      </c>
      <c r="B21">
        <v>-252.2638316436252</v>
      </c>
    </row>
    <row r="22" spans="1:2" x14ac:dyDescent="0.45">
      <c r="A22" s="2">
        <v>44075</v>
      </c>
      <c r="B22">
        <v>-264.50733681096682</v>
      </c>
    </row>
    <row r="23" spans="1:2" x14ac:dyDescent="0.45">
      <c r="A23" s="2">
        <v>44105</v>
      </c>
      <c r="B23">
        <v>-118.7296744877345</v>
      </c>
    </row>
    <row r="24" spans="1:2" x14ac:dyDescent="0.45">
      <c r="A24" s="2">
        <v>44136</v>
      </c>
      <c r="B24">
        <v>-93.837509552669559</v>
      </c>
    </row>
    <row r="25" spans="1:2" x14ac:dyDescent="0.45">
      <c r="A25" s="2">
        <v>44166</v>
      </c>
      <c r="B25">
        <v>-128.6286863985477</v>
      </c>
    </row>
    <row r="26" spans="1:2" x14ac:dyDescent="0.45">
      <c r="A26" s="2">
        <v>44197</v>
      </c>
      <c r="B26">
        <v>-148.64967335567661</v>
      </c>
    </row>
    <row r="27" spans="1:2" x14ac:dyDescent="0.45">
      <c r="A27" s="2">
        <v>44228</v>
      </c>
      <c r="B27">
        <v>-167.6106944959802</v>
      </c>
    </row>
    <row r="28" spans="1:2" x14ac:dyDescent="0.45">
      <c r="A28" s="2">
        <v>44256</v>
      </c>
      <c r="B28">
        <v>-124.7528400921659</v>
      </c>
    </row>
    <row r="29" spans="1:2" x14ac:dyDescent="0.45">
      <c r="A29" s="2">
        <v>44287</v>
      </c>
      <c r="B29">
        <v>-269.79654976911968</v>
      </c>
    </row>
    <row r="30" spans="1:2" x14ac:dyDescent="0.45">
      <c r="A30" s="2">
        <v>44317</v>
      </c>
      <c r="B30">
        <v>-332.12719592235732</v>
      </c>
    </row>
    <row r="31" spans="1:2" x14ac:dyDescent="0.45">
      <c r="A31" s="2">
        <v>44348</v>
      </c>
      <c r="B31">
        <v>-196.37687095238101</v>
      </c>
    </row>
    <row r="32" spans="1:2" x14ac:dyDescent="0.45">
      <c r="A32" s="2">
        <v>44378</v>
      </c>
      <c r="B32">
        <v>-174.96401995531349</v>
      </c>
    </row>
    <row r="33" spans="1:2" x14ac:dyDescent="0.45">
      <c r="A33" s="2">
        <v>44409</v>
      </c>
      <c r="B33">
        <v>-105.5393701857283</v>
      </c>
    </row>
    <row r="34" spans="1:2" x14ac:dyDescent="0.45">
      <c r="A34" s="2">
        <v>44440</v>
      </c>
      <c r="B34">
        <v>-106.97748672438669</v>
      </c>
    </row>
    <row r="35" spans="1:2" x14ac:dyDescent="0.45">
      <c r="A35" s="2">
        <v>44470</v>
      </c>
      <c r="B35">
        <v>-108.3011268118978</v>
      </c>
    </row>
    <row r="36" spans="1:2" x14ac:dyDescent="0.45">
      <c r="A36" s="2">
        <v>44501</v>
      </c>
      <c r="B36">
        <v>-104.0585564935065</v>
      </c>
    </row>
    <row r="37" spans="1:2" x14ac:dyDescent="0.45">
      <c r="A37" s="2">
        <v>44531</v>
      </c>
      <c r="B37">
        <v>-92.486003993855604</v>
      </c>
    </row>
    <row r="38" spans="1:2" x14ac:dyDescent="0.45">
      <c r="A38" s="2">
        <v>44562</v>
      </c>
      <c r="B38">
        <v>-85.856609817064651</v>
      </c>
    </row>
    <row r="39" spans="1:2" x14ac:dyDescent="0.45">
      <c r="A39" s="2">
        <v>44593</v>
      </c>
      <c r="B39">
        <v>-120.1467347557205</v>
      </c>
    </row>
    <row r="40" spans="1:2" x14ac:dyDescent="0.45">
      <c r="A40" s="2">
        <v>44621</v>
      </c>
      <c r="B40">
        <v>-126.44893253735511</v>
      </c>
    </row>
    <row r="41" spans="1:2" x14ac:dyDescent="0.45">
      <c r="A41" s="2">
        <v>44652</v>
      </c>
      <c r="B41">
        <v>-115.05228603174599</v>
      </c>
    </row>
    <row r="42" spans="1:2" x14ac:dyDescent="0.45">
      <c r="A42" s="2">
        <v>44682</v>
      </c>
      <c r="B42">
        <v>-110.35100046176041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682-805E-4875-8188-7BBAF284A878}">
  <dimension ref="A1:D42"/>
  <sheetViews>
    <sheetView topLeftCell="A14" workbookViewId="0">
      <selection sqref="A1:A42"/>
    </sheetView>
  </sheetViews>
  <sheetFormatPr defaultRowHeight="14.25" x14ac:dyDescent="0.45"/>
  <sheetData>
    <row r="1" spans="1:4" x14ac:dyDescent="0.45">
      <c r="A1" t="s">
        <v>1</v>
      </c>
      <c r="B1" t="s">
        <v>2</v>
      </c>
      <c r="C1" s="1" t="s">
        <v>0</v>
      </c>
      <c r="D1" s="1" t="s">
        <v>3</v>
      </c>
    </row>
    <row r="2" spans="1:4" x14ac:dyDescent="0.45">
      <c r="A2" s="2">
        <v>43466</v>
      </c>
      <c r="B2" s="3">
        <v>8.9247770607471466E-2</v>
      </c>
      <c r="C2">
        <v>-421.17601811574769</v>
      </c>
      <c r="D2">
        <v>-148.8324104733976</v>
      </c>
    </row>
    <row r="3" spans="1:4" x14ac:dyDescent="0.45">
      <c r="A3" s="2">
        <v>43497</v>
      </c>
      <c r="B3" s="3">
        <v>0.3635161817073822</v>
      </c>
      <c r="C3">
        <v>-2034.932806555604</v>
      </c>
      <c r="D3">
        <v>-688.45976093073591</v>
      </c>
    </row>
    <row r="4" spans="1:4" x14ac:dyDescent="0.45">
      <c r="A4" s="2">
        <v>43525</v>
      </c>
      <c r="B4" s="3">
        <v>0.30866771936416626</v>
      </c>
      <c r="C4">
        <v>-1289.8752853770029</v>
      </c>
      <c r="D4">
        <v>-443.49021696690409</v>
      </c>
    </row>
    <row r="5" spans="1:4" x14ac:dyDescent="0.45">
      <c r="A5" s="2">
        <v>43556</v>
      </c>
      <c r="B5" s="3">
        <v>0.35365745425224304</v>
      </c>
      <c r="C5">
        <v>-931.22523743532031</v>
      </c>
      <c r="D5">
        <v>-327.88184486291482</v>
      </c>
    </row>
    <row r="6" spans="1:4" x14ac:dyDescent="0.45">
      <c r="A6" s="2">
        <v>43586</v>
      </c>
      <c r="B6" s="3">
        <v>0.26218515634536743</v>
      </c>
      <c r="C6">
        <v>-669.6095330450803</v>
      </c>
      <c r="D6">
        <v>-222.64601583577709</v>
      </c>
    </row>
    <row r="7" spans="1:4" x14ac:dyDescent="0.45">
      <c r="A7" s="2">
        <v>43617</v>
      </c>
      <c r="B7" s="3">
        <v>0.20709292590618134</v>
      </c>
      <c r="C7">
        <v>-614.06069592216443</v>
      </c>
      <c r="D7">
        <v>-206.12653995670999</v>
      </c>
    </row>
    <row r="8" spans="1:4" x14ac:dyDescent="0.45">
      <c r="A8" s="2">
        <v>43647</v>
      </c>
      <c r="B8" s="3">
        <v>0.17255109548568726</v>
      </c>
      <c r="C8">
        <v>-656.68498903887644</v>
      </c>
      <c r="D8">
        <v>-219.18950275101241</v>
      </c>
    </row>
    <row r="9" spans="1:4" x14ac:dyDescent="0.45">
      <c r="A9" s="2">
        <v>43678</v>
      </c>
      <c r="B9" s="3">
        <v>0.34510219097137451</v>
      </c>
      <c r="C9">
        <v>-1163.1512180801731</v>
      </c>
      <c r="D9">
        <v>-430.73785341432762</v>
      </c>
    </row>
    <row r="10" spans="1:4" x14ac:dyDescent="0.45">
      <c r="A10" s="2">
        <v>43709</v>
      </c>
      <c r="B10" s="3">
        <v>0.15501129627227783</v>
      </c>
      <c r="C10">
        <v>-706.92756628808354</v>
      </c>
      <c r="D10">
        <v>-258.48248297258289</v>
      </c>
    </row>
    <row r="11" spans="1:4" x14ac:dyDescent="0.45">
      <c r="A11" s="2">
        <v>43739</v>
      </c>
      <c r="B11" s="3">
        <v>0.1681661456823349</v>
      </c>
      <c r="C11">
        <v>-492.28135148790972</v>
      </c>
      <c r="D11">
        <v>-171.56379565703111</v>
      </c>
    </row>
    <row r="12" spans="1:4" x14ac:dyDescent="0.45">
      <c r="A12" s="2">
        <v>43770</v>
      </c>
      <c r="B12" s="3">
        <v>7.9225353896617889E-2</v>
      </c>
      <c r="C12">
        <v>-415.76170383568927</v>
      </c>
      <c r="D12">
        <v>-140.9646796825397</v>
      </c>
    </row>
    <row r="13" spans="1:4" x14ac:dyDescent="0.45">
      <c r="A13" s="2">
        <v>43800</v>
      </c>
      <c r="B13" s="3">
        <v>9.2224054038524628E-2</v>
      </c>
      <c r="C13">
        <v>-1135.8406759168181</v>
      </c>
      <c r="D13">
        <v>-397.36184046920818</v>
      </c>
    </row>
    <row r="14" spans="1:4" x14ac:dyDescent="0.45">
      <c r="A14" s="2">
        <v>43831</v>
      </c>
      <c r="B14" s="3">
        <v>0.18089565634727478</v>
      </c>
      <c r="C14">
        <v>-610.0558756244659</v>
      </c>
      <c r="D14">
        <v>-212.1024319648094</v>
      </c>
    </row>
    <row r="15" spans="1:4" x14ac:dyDescent="0.45">
      <c r="A15" s="2">
        <v>43862</v>
      </c>
      <c r="B15" s="3">
        <v>0.21399910748004913</v>
      </c>
      <c r="C15">
        <v>-583.45850680521198</v>
      </c>
      <c r="D15">
        <v>-196.59293513957309</v>
      </c>
    </row>
    <row r="16" spans="1:4" x14ac:dyDescent="0.45">
      <c r="A16" s="2">
        <v>43891</v>
      </c>
      <c r="B16" s="3">
        <v>0.11971951276063919</v>
      </c>
      <c r="C16">
        <v>-736.93088483256599</v>
      </c>
      <c r="D16">
        <v>-251.41927619047621</v>
      </c>
    </row>
    <row r="17" spans="1:4" x14ac:dyDescent="0.45">
      <c r="A17" s="2">
        <v>43922</v>
      </c>
      <c r="B17" s="3">
        <v>0.11605775356292725</v>
      </c>
      <c r="C17">
        <v>-745.39340940278589</v>
      </c>
      <c r="D17">
        <v>-252.72927769119769</v>
      </c>
    </row>
    <row r="18" spans="1:4" x14ac:dyDescent="0.45">
      <c r="A18" s="2">
        <v>43952</v>
      </c>
      <c r="B18" s="3">
        <v>0.15320836007595062</v>
      </c>
      <c r="C18">
        <v>-865.48762925803851</v>
      </c>
      <c r="D18">
        <v>-282.39518357771271</v>
      </c>
    </row>
    <row r="19" spans="1:4" x14ac:dyDescent="0.45">
      <c r="A19" s="2">
        <v>43983</v>
      </c>
      <c r="B19" s="3">
        <v>0.32299742102622986</v>
      </c>
      <c r="C19">
        <v>-1240.3804871992461</v>
      </c>
      <c r="D19">
        <v>-402.00071998557002</v>
      </c>
    </row>
    <row r="20" spans="1:4" x14ac:dyDescent="0.45">
      <c r="A20" s="2">
        <v>44013</v>
      </c>
      <c r="B20" s="3">
        <v>0.22953328490257263</v>
      </c>
      <c r="C20">
        <v>-860.00640469638381</v>
      </c>
      <c r="D20">
        <v>-284.52740217846667</v>
      </c>
    </row>
    <row r="21" spans="1:4" x14ac:dyDescent="0.45">
      <c r="A21" s="2">
        <v>44044</v>
      </c>
      <c r="B21" s="3">
        <v>9.7956277430057526E-2</v>
      </c>
      <c r="C21">
        <v>-799.93896824803596</v>
      </c>
      <c r="D21">
        <v>-252.2638316436252</v>
      </c>
    </row>
    <row r="22" spans="1:4" x14ac:dyDescent="0.45">
      <c r="A22" s="2">
        <v>44075</v>
      </c>
      <c r="B22" s="3">
        <v>0.21509231626987457</v>
      </c>
      <c r="C22">
        <v>-814.67944435710638</v>
      </c>
      <c r="D22">
        <v>-264.50733681096682</v>
      </c>
    </row>
    <row r="23" spans="1:4" x14ac:dyDescent="0.45">
      <c r="A23" s="2">
        <v>44105</v>
      </c>
      <c r="B23" s="3">
        <v>0.11810857802629471</v>
      </c>
      <c r="C23">
        <v>-375.31134920943128</v>
      </c>
      <c r="D23">
        <v>-118.7296744877345</v>
      </c>
    </row>
    <row r="24" spans="1:4" x14ac:dyDescent="0.45">
      <c r="A24" s="2">
        <v>44136</v>
      </c>
      <c r="B24" s="3">
        <v>0.18354517221450806</v>
      </c>
      <c r="C24">
        <v>-282.96919078630373</v>
      </c>
      <c r="D24">
        <v>-93.837509552669559</v>
      </c>
    </row>
    <row r="25" spans="1:4" x14ac:dyDescent="0.45">
      <c r="A25" s="2">
        <v>44166</v>
      </c>
      <c r="B25" s="3">
        <v>0.11803588271141052</v>
      </c>
      <c r="C25">
        <v>-388.3753046934001</v>
      </c>
      <c r="D25">
        <v>-128.6286863985477</v>
      </c>
    </row>
    <row r="26" spans="1:4" x14ac:dyDescent="0.45">
      <c r="A26" s="2">
        <v>44197</v>
      </c>
      <c r="B26" s="3">
        <v>0.14159131050109863</v>
      </c>
      <c r="C26">
        <v>-448.85350557198109</v>
      </c>
      <c r="D26">
        <v>-148.64967335567661</v>
      </c>
    </row>
    <row r="27" spans="1:4" x14ac:dyDescent="0.45">
      <c r="A27" s="2">
        <v>44228</v>
      </c>
      <c r="B27" s="3">
        <v>0.13509456813335419</v>
      </c>
      <c r="C27">
        <v>-512.30004694744378</v>
      </c>
      <c r="D27">
        <v>-167.6106944959802</v>
      </c>
    </row>
    <row r="28" spans="1:4" x14ac:dyDescent="0.45">
      <c r="A28" s="2">
        <v>44256</v>
      </c>
      <c r="B28" s="3">
        <v>0.32585084438323975</v>
      </c>
      <c r="C28">
        <v>-381.92485505649171</v>
      </c>
      <c r="D28">
        <v>-124.7528400921659</v>
      </c>
    </row>
    <row r="29" spans="1:4" x14ac:dyDescent="0.45">
      <c r="A29" s="2">
        <v>44287</v>
      </c>
      <c r="B29" s="3">
        <v>0.18319432437419891</v>
      </c>
      <c r="C29">
        <v>-872.05742964349326</v>
      </c>
      <c r="D29">
        <v>-269.79654976911968</v>
      </c>
    </row>
    <row r="30" spans="1:4" x14ac:dyDescent="0.45">
      <c r="A30" s="2">
        <v>44317</v>
      </c>
      <c r="B30" s="3">
        <v>0.31941378116607666</v>
      </c>
      <c r="C30">
        <v>-1112.64610989832</v>
      </c>
      <c r="D30">
        <v>-332.12719592235732</v>
      </c>
    </row>
    <row r="31" spans="1:4" x14ac:dyDescent="0.45">
      <c r="A31" s="2">
        <v>44348</v>
      </c>
      <c r="B31" s="3">
        <v>0.1879427433013916</v>
      </c>
      <c r="C31">
        <v>-596.35725909475002</v>
      </c>
      <c r="D31">
        <v>-196.37687095238101</v>
      </c>
    </row>
    <row r="32" spans="1:4" x14ac:dyDescent="0.45">
      <c r="A32" s="2">
        <v>44378</v>
      </c>
      <c r="B32" s="3">
        <v>0.19035238027572632</v>
      </c>
      <c r="C32">
        <v>-557.87010512442828</v>
      </c>
      <c r="D32">
        <v>-174.96401995531349</v>
      </c>
    </row>
    <row r="33" spans="1:4" x14ac:dyDescent="0.45">
      <c r="A33" s="2">
        <v>44409</v>
      </c>
      <c r="B33" s="3">
        <v>0.15001499652862549</v>
      </c>
      <c r="C33">
        <v>-323.87276535558902</v>
      </c>
      <c r="D33">
        <v>-105.5393701857283</v>
      </c>
    </row>
    <row r="34" spans="1:4" x14ac:dyDescent="0.45">
      <c r="A34" s="2">
        <v>44440</v>
      </c>
      <c r="B34" s="3">
        <v>0.44324532151222229</v>
      </c>
      <c r="C34">
        <v>-328.51637800971548</v>
      </c>
      <c r="D34">
        <v>-106.97748672438669</v>
      </c>
    </row>
    <row r="35" spans="1:4" x14ac:dyDescent="0.45">
      <c r="A35" s="2">
        <v>44470</v>
      </c>
      <c r="B35" s="3">
        <v>0.26264861226081848</v>
      </c>
      <c r="C35">
        <v>-344.08618876071432</v>
      </c>
      <c r="D35">
        <v>-108.3011268118978</v>
      </c>
    </row>
    <row r="36" spans="1:4" x14ac:dyDescent="0.45">
      <c r="A36" s="2">
        <v>44501</v>
      </c>
      <c r="B36" s="3">
        <v>0.16089712083339691</v>
      </c>
      <c r="C36">
        <v>-315.2895485151131</v>
      </c>
      <c r="D36">
        <v>-104.0585564935065</v>
      </c>
    </row>
    <row r="37" spans="1:4" x14ac:dyDescent="0.45">
      <c r="A37" s="2">
        <v>44531</v>
      </c>
      <c r="B37" s="3">
        <v>0.15223017334938049</v>
      </c>
      <c r="C37">
        <v>-289.55674360377247</v>
      </c>
      <c r="D37">
        <v>-92.486003993855604</v>
      </c>
    </row>
    <row r="38" spans="1:4" x14ac:dyDescent="0.45">
      <c r="A38" s="2">
        <v>44562</v>
      </c>
      <c r="B38" s="3">
        <v>0.22030843794345856</v>
      </c>
      <c r="C38">
        <v>-267.48029844942818</v>
      </c>
      <c r="D38">
        <v>-85.856609817064651</v>
      </c>
    </row>
    <row r="39" spans="1:4" x14ac:dyDescent="0.45">
      <c r="A39" s="2">
        <v>44593</v>
      </c>
      <c r="B39" s="3">
        <v>0.17175871133804321</v>
      </c>
      <c r="C39">
        <v>-342.98574224120517</v>
      </c>
      <c r="D39">
        <v>-120.1467347557205</v>
      </c>
    </row>
    <row r="40" spans="1:4" x14ac:dyDescent="0.45">
      <c r="A40" s="2">
        <v>44621</v>
      </c>
      <c r="B40" s="3">
        <v>0.47818291187286377</v>
      </c>
      <c r="C40">
        <v>-348.45784539829299</v>
      </c>
      <c r="D40">
        <v>-126.44893253735511</v>
      </c>
    </row>
    <row r="41" spans="1:4" x14ac:dyDescent="0.45">
      <c r="A41" s="2">
        <v>44652</v>
      </c>
      <c r="B41" s="3">
        <v>0.43596729636192322</v>
      </c>
      <c r="C41">
        <v>-314.34016385380022</v>
      </c>
      <c r="D41">
        <v>-115.05228603174599</v>
      </c>
    </row>
    <row r="42" spans="1:4" x14ac:dyDescent="0.45">
      <c r="A42" s="2">
        <v>44682</v>
      </c>
      <c r="B42" s="3">
        <v>0.33203125</v>
      </c>
      <c r="C42">
        <v>-315.93555763168177</v>
      </c>
      <c r="D42">
        <v>-110.35100046176041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E6FE-61C5-459C-BE73-204EACBF877C}">
  <dimension ref="A1:F42"/>
  <sheetViews>
    <sheetView tabSelected="1" workbookViewId="0">
      <selection activeCell="K14" sqref="K14"/>
    </sheetView>
  </sheetViews>
  <sheetFormatPr defaultRowHeight="14.25" x14ac:dyDescent="0.45"/>
  <sheetData>
    <row r="1" spans="1:6" x14ac:dyDescent="0.45">
      <c r="A1" t="s">
        <v>1</v>
      </c>
      <c r="B1" t="s">
        <v>6</v>
      </c>
      <c r="C1" t="s">
        <v>4</v>
      </c>
      <c r="D1" t="s">
        <v>5</v>
      </c>
    </row>
    <row r="2" spans="1:6" x14ac:dyDescent="0.45">
      <c r="A2" s="2">
        <v>43466</v>
      </c>
      <c r="B2" s="3">
        <f>-Sheet2!B2</f>
        <v>-8.9247770607471466E-2</v>
      </c>
      <c r="C2">
        <f>STANDARDIZE(Sheet2!C2,AVERAGE(Sheet2!C$2:C$42),STDEV(Sheet2!C$2:C$42))</f>
        <v>0.61675514627628703</v>
      </c>
      <c r="D2">
        <f>STANDARDIZE(Sheet2!D2,AVERAGE(Sheet2!D$2:D$42),STDEV(Sheet2!D$2:D$42))</f>
        <v>0.5471452339568974</v>
      </c>
      <c r="F2">
        <f>CORREL(B2:B42,D2:D42)</f>
        <v>0.2046365616849726</v>
      </c>
    </row>
    <row r="3" spans="1:6" x14ac:dyDescent="0.45">
      <c r="A3" s="2">
        <v>43497</v>
      </c>
      <c r="B3" s="3">
        <f>-Sheet2!B3</f>
        <v>-0.3635161817073822</v>
      </c>
      <c r="C3">
        <f>STANDARDIZE(Sheet2!C3,AVERAGE(Sheet2!C$2:C$42),STDEV(Sheet2!C$2:C$42))</f>
        <v>-3.8001474610268202</v>
      </c>
      <c r="D3">
        <f>STANDARDIZE(Sheet2!D3,AVERAGE(Sheet2!D$2:D$42),STDEV(Sheet2!D$2:D$42))</f>
        <v>-3.8028867847849286</v>
      </c>
    </row>
    <row r="4" spans="1:6" x14ac:dyDescent="0.45">
      <c r="A4" s="2">
        <v>43525</v>
      </c>
      <c r="B4" s="3">
        <f>-Sheet2!B4</f>
        <v>-0.30866771936416626</v>
      </c>
      <c r="C4">
        <f>STANDARDIZE(Sheet2!C4,AVERAGE(Sheet2!C$2:C$42),STDEV(Sheet2!C$2:C$42))</f>
        <v>-1.7609018129474281</v>
      </c>
      <c r="D4">
        <f>STANDARDIZE(Sheet2!D4,AVERAGE(Sheet2!D$2:D$42),STDEV(Sheet2!D$2:D$42))</f>
        <v>-1.8281437348707126</v>
      </c>
    </row>
    <row r="5" spans="1:6" x14ac:dyDescent="0.45">
      <c r="A5" s="2">
        <v>43556</v>
      </c>
      <c r="B5" s="3">
        <f>-Sheet2!B5</f>
        <v>-0.35365745425224304</v>
      </c>
      <c r="C5">
        <f>STANDARDIZE(Sheet2!C5,AVERAGE(Sheet2!C$2:C$42),STDEV(Sheet2!C$2:C$42))</f>
        <v>-0.77926545782200929</v>
      </c>
      <c r="D5">
        <f>STANDARDIZE(Sheet2!D5,AVERAGE(Sheet2!D$2:D$42),STDEV(Sheet2!D$2:D$42))</f>
        <v>-0.89620409196573203</v>
      </c>
    </row>
    <row r="6" spans="1:6" x14ac:dyDescent="0.45">
      <c r="A6" s="2">
        <v>43586</v>
      </c>
      <c r="B6" s="3">
        <f>-Sheet2!B6</f>
        <v>-0.26218515634536743</v>
      </c>
      <c r="C6">
        <f>STANDARDIZE(Sheet2!C6,AVERAGE(Sheet2!C$2:C$42),STDEV(Sheet2!C$2:C$42))</f>
        <v>-6.3215124146987836E-2</v>
      </c>
      <c r="D6">
        <f>STANDARDIZE(Sheet2!D6,AVERAGE(Sheet2!D$2:D$42),STDEV(Sheet2!D$2:D$42))</f>
        <v>-4.7879363059908024E-2</v>
      </c>
    </row>
    <row r="7" spans="1:6" x14ac:dyDescent="0.45">
      <c r="A7" s="2">
        <v>43617</v>
      </c>
      <c r="B7" s="3">
        <f>-Sheet2!B7</f>
        <v>-0.20709292590618134</v>
      </c>
      <c r="C7">
        <f>STANDARDIZE(Sheet2!C7,AVERAGE(Sheet2!C$2:C$42),STDEV(Sheet2!C$2:C$42))</f>
        <v>8.8823773708286424E-2</v>
      </c>
      <c r="D7">
        <f>STANDARDIZE(Sheet2!D7,AVERAGE(Sheet2!D$2:D$42),STDEV(Sheet2!D$2:D$42))</f>
        <v>8.528706919352215E-2</v>
      </c>
    </row>
    <row r="8" spans="1:6" x14ac:dyDescent="0.45">
      <c r="A8" s="2">
        <v>43647</v>
      </c>
      <c r="B8" s="3">
        <f>-Sheet2!B8</f>
        <v>-0.17255109548568726</v>
      </c>
      <c r="C8">
        <f>STANDARDIZE(Sheet2!C8,AVERAGE(Sheet2!C$2:C$42),STDEV(Sheet2!C$2:C$42))</f>
        <v>-2.7840244531828807E-2</v>
      </c>
      <c r="D8">
        <f>STANDARDIZE(Sheet2!D8,AVERAGE(Sheet2!D$2:D$42),STDEV(Sheet2!D$2:D$42))</f>
        <v>-2.0015796509429511E-2</v>
      </c>
    </row>
    <row r="9" spans="1:6" x14ac:dyDescent="0.45">
      <c r="A9" s="2">
        <v>43678</v>
      </c>
      <c r="B9" s="3">
        <f>-Sheet2!B9</f>
        <v>-0.34510219097137451</v>
      </c>
      <c r="C9">
        <f>STANDARDIZE(Sheet2!C9,AVERAGE(Sheet2!C$2:C$42),STDEV(Sheet2!C$2:C$42))</f>
        <v>-1.4140540926087553</v>
      </c>
      <c r="D9">
        <f>STANDARDIZE(Sheet2!D9,AVERAGE(Sheet2!D$2:D$42),STDEV(Sheet2!D$2:D$42))</f>
        <v>-1.7253446648804127</v>
      </c>
    </row>
    <row r="10" spans="1:6" x14ac:dyDescent="0.45">
      <c r="A10" s="2">
        <v>43709</v>
      </c>
      <c r="B10" s="3">
        <f>-Sheet2!B10</f>
        <v>-0.15501129627227783</v>
      </c>
      <c r="C10">
        <f>STANDARDIZE(Sheet2!C10,AVERAGE(Sheet2!C$2:C$42),STDEV(Sheet2!C$2:C$42))</f>
        <v>-0.16535574379376813</v>
      </c>
      <c r="D10">
        <f>STANDARDIZE(Sheet2!D10,AVERAGE(Sheet2!D$2:D$42),STDEV(Sheet2!D$2:D$42))</f>
        <v>-0.33676349643746317</v>
      </c>
    </row>
    <row r="11" spans="1:6" x14ac:dyDescent="0.45">
      <c r="A11" s="2">
        <v>43739</v>
      </c>
      <c r="B11" s="3">
        <f>-Sheet2!B11</f>
        <v>-0.1681661456823349</v>
      </c>
      <c r="C11">
        <f>STANDARDIZE(Sheet2!C11,AVERAGE(Sheet2!C$2:C$42),STDEV(Sheet2!C$2:C$42))</f>
        <v>0.42213763351695083</v>
      </c>
      <c r="D11">
        <f>STANDARDIZE(Sheet2!D11,AVERAGE(Sheet2!D$2:D$42),STDEV(Sheet2!D$2:D$42))</f>
        <v>0.36390349631080543</v>
      </c>
    </row>
    <row r="12" spans="1:6" x14ac:dyDescent="0.45">
      <c r="A12" s="2">
        <v>43770</v>
      </c>
      <c r="B12" s="3">
        <f>-Sheet2!B12</f>
        <v>-7.9225353896617889E-2</v>
      </c>
      <c r="C12">
        <f>STANDARDIZE(Sheet2!C12,AVERAGE(Sheet2!C$2:C$42),STDEV(Sheet2!C$2:C$42))</f>
        <v>0.63157429314628621</v>
      </c>
      <c r="D12">
        <f>STANDARDIZE(Sheet2!D12,AVERAGE(Sheet2!D$2:D$42),STDEV(Sheet2!D$2:D$42))</f>
        <v>0.61056841075856794</v>
      </c>
    </row>
    <row r="13" spans="1:6" x14ac:dyDescent="0.45">
      <c r="A13" s="2">
        <v>43800</v>
      </c>
      <c r="B13" s="3">
        <f>-Sheet2!B13</f>
        <v>-9.2224054038524628E-2</v>
      </c>
      <c r="C13">
        <f>STANDARDIZE(Sheet2!C13,AVERAGE(Sheet2!C$2:C$42),STDEV(Sheet2!C$2:C$42))</f>
        <v>-1.339304287835011</v>
      </c>
      <c r="D13">
        <f>STANDARDIZE(Sheet2!D13,AVERAGE(Sheet2!D$2:D$42),STDEV(Sheet2!D$2:D$42))</f>
        <v>-1.4562946902151843</v>
      </c>
    </row>
    <row r="14" spans="1:6" x14ac:dyDescent="0.45">
      <c r="A14" s="2">
        <v>43831</v>
      </c>
      <c r="B14" s="3">
        <f>-Sheet2!B14</f>
        <v>-0.18089565634727478</v>
      </c>
      <c r="C14">
        <f>STANDARDIZE(Sheet2!C14,AVERAGE(Sheet2!C$2:C$42),STDEV(Sheet2!C$2:C$42))</f>
        <v>9.9785091635126111E-2</v>
      </c>
      <c r="D14">
        <f>STANDARDIZE(Sheet2!D14,AVERAGE(Sheet2!D$2:D$42),STDEV(Sheet2!D$2:D$42))</f>
        <v>3.7114341191977061E-2</v>
      </c>
    </row>
    <row r="15" spans="1:6" x14ac:dyDescent="0.45">
      <c r="A15" s="2">
        <v>43862</v>
      </c>
      <c r="B15" s="3">
        <f>-Sheet2!B15</f>
        <v>-0.21399910748004913</v>
      </c>
      <c r="C15">
        <f>STANDARDIZE(Sheet2!C15,AVERAGE(Sheet2!C$2:C$42),STDEV(Sheet2!C$2:C$42))</f>
        <v>0.17258291874681872</v>
      </c>
      <c r="D15">
        <f>STANDARDIZE(Sheet2!D15,AVERAGE(Sheet2!D$2:D$42),STDEV(Sheet2!D$2:D$42))</f>
        <v>0.16213915271640039</v>
      </c>
    </row>
    <row r="16" spans="1:6" x14ac:dyDescent="0.45">
      <c r="A16" s="2">
        <v>43891</v>
      </c>
      <c r="B16" s="3">
        <f>-Sheet2!B16</f>
        <v>-0.11971951276063919</v>
      </c>
      <c r="C16">
        <f>STANDARDIZE(Sheet2!C16,AVERAGE(Sheet2!C$2:C$42),STDEV(Sheet2!C$2:C$42))</f>
        <v>-0.24747576141735889</v>
      </c>
      <c r="D16">
        <f>STANDARDIZE(Sheet2!D16,AVERAGE(Sheet2!D$2:D$42),STDEV(Sheet2!D$2:D$42))</f>
        <v>-0.2798257307161397</v>
      </c>
    </row>
    <row r="17" spans="1:4" x14ac:dyDescent="0.45">
      <c r="A17" s="2">
        <v>43922</v>
      </c>
      <c r="B17" s="3">
        <f>-Sheet2!B17</f>
        <v>-0.11605775356292725</v>
      </c>
      <c r="C17">
        <f>STANDARDIZE(Sheet2!C17,AVERAGE(Sheet2!C$2:C$42),STDEV(Sheet2!C$2:C$42))</f>
        <v>-0.27063795481993924</v>
      </c>
      <c r="D17">
        <f>STANDARDIZE(Sheet2!D17,AVERAGE(Sheet2!D$2:D$42),STDEV(Sheet2!D$2:D$42))</f>
        <v>-0.29038588573405849</v>
      </c>
    </row>
    <row r="18" spans="1:4" x14ac:dyDescent="0.45">
      <c r="A18" s="2">
        <v>43952</v>
      </c>
      <c r="B18" s="3">
        <f>-Sheet2!B18</f>
        <v>-0.15320836007595062</v>
      </c>
      <c r="C18">
        <f>STANDARDIZE(Sheet2!C18,AVERAGE(Sheet2!C$2:C$42),STDEV(Sheet2!C$2:C$42))</f>
        <v>-0.59933957615503497</v>
      </c>
      <c r="D18">
        <f>STANDARDIZE(Sheet2!D18,AVERAGE(Sheet2!D$2:D$42),STDEV(Sheet2!D$2:D$42))</f>
        <v>-0.52952802773622554</v>
      </c>
    </row>
    <row r="19" spans="1:4" x14ac:dyDescent="0.45">
      <c r="A19" s="2">
        <v>43983</v>
      </c>
      <c r="B19" s="3">
        <f>-Sheet2!B19</f>
        <v>-0.32299742102622986</v>
      </c>
      <c r="C19">
        <f>STANDARDIZE(Sheet2!C19,AVERAGE(Sheet2!C$2:C$42),STDEV(Sheet2!C$2:C$42))</f>
        <v>-1.625433008301453</v>
      </c>
      <c r="D19">
        <f>STANDARDIZE(Sheet2!D19,AVERAGE(Sheet2!D$2:D$42),STDEV(Sheet2!D$2:D$42))</f>
        <v>-1.4936895227976277</v>
      </c>
    </row>
    <row r="20" spans="1:4" x14ac:dyDescent="0.45">
      <c r="A20" s="2">
        <v>44013</v>
      </c>
      <c r="B20" s="3">
        <f>-Sheet2!B20</f>
        <v>-0.22953328490257263</v>
      </c>
      <c r="C20">
        <f>STANDARDIZE(Sheet2!C20,AVERAGE(Sheet2!C$2:C$42),STDEV(Sheet2!C$2:C$42))</f>
        <v>-0.58433729375968579</v>
      </c>
      <c r="D20">
        <f>STANDARDIZE(Sheet2!D20,AVERAGE(Sheet2!D$2:D$42),STDEV(Sheet2!D$2:D$42))</f>
        <v>-0.54671622098917272</v>
      </c>
    </row>
    <row r="21" spans="1:4" x14ac:dyDescent="0.45">
      <c r="A21" s="2">
        <v>44044</v>
      </c>
      <c r="B21" s="3">
        <f>-Sheet2!B21</f>
        <v>-9.7956277430057526E-2</v>
      </c>
      <c r="C21">
        <f>STANDARDIZE(Sheet2!C21,AVERAGE(Sheet2!C$2:C$42),STDEV(Sheet2!C$2:C$42))</f>
        <v>-0.41993084877164089</v>
      </c>
      <c r="D21">
        <f>STANDARDIZE(Sheet2!D21,AVERAGE(Sheet2!D$2:D$42),STDEV(Sheet2!D$2:D$42))</f>
        <v>-0.28663384238743927</v>
      </c>
    </row>
    <row r="22" spans="1:4" x14ac:dyDescent="0.45">
      <c r="A22" s="2">
        <v>44075</v>
      </c>
      <c r="B22" s="3">
        <f>-Sheet2!B22</f>
        <v>-0.21509231626987457</v>
      </c>
      <c r="C22">
        <f>STANDARDIZE(Sheet2!C22,AVERAGE(Sheet2!C$2:C$42),STDEV(Sheet2!C$2:C$42))</f>
        <v>-0.46027599112855483</v>
      </c>
      <c r="D22">
        <f>STANDARDIZE(Sheet2!D22,AVERAGE(Sheet2!D$2:D$42),STDEV(Sheet2!D$2:D$42))</f>
        <v>-0.38533091445843259</v>
      </c>
    </row>
    <row r="23" spans="1:4" x14ac:dyDescent="0.45">
      <c r="A23" s="2">
        <v>44105</v>
      </c>
      <c r="B23" s="3">
        <f>-Sheet2!B23</f>
        <v>-0.11810857802629471</v>
      </c>
      <c r="C23">
        <f>STANDARDIZE(Sheet2!C23,AVERAGE(Sheet2!C$2:C$42),STDEV(Sheet2!C$2:C$42))</f>
        <v>0.7422881740079641</v>
      </c>
      <c r="D23">
        <f>STANDARDIZE(Sheet2!D23,AVERAGE(Sheet2!D$2:D$42),STDEV(Sheet2!D$2:D$42))</f>
        <v>0.78980874105746768</v>
      </c>
    </row>
    <row r="24" spans="1:4" x14ac:dyDescent="0.45">
      <c r="A24" s="2">
        <v>44136</v>
      </c>
      <c r="B24" s="3">
        <f>-Sheet2!B24</f>
        <v>-0.18354517221450806</v>
      </c>
      <c r="C24">
        <f>STANDARDIZE(Sheet2!C24,AVERAGE(Sheet2!C$2:C$42),STDEV(Sheet2!C$2:C$42))</f>
        <v>0.99503153857495352</v>
      </c>
      <c r="D24">
        <f>STANDARDIZE(Sheet2!D24,AVERAGE(Sheet2!D$2:D$42),STDEV(Sheet2!D$2:D$42))</f>
        <v>0.99046890847034152</v>
      </c>
    </row>
    <row r="25" spans="1:4" x14ac:dyDescent="0.45">
      <c r="A25" s="2">
        <v>44166</v>
      </c>
      <c r="B25" s="3">
        <f>-Sheet2!B25</f>
        <v>-0.11803588271141052</v>
      </c>
      <c r="C25">
        <f>STANDARDIZE(Sheet2!C25,AVERAGE(Sheet2!C$2:C$42),STDEV(Sheet2!C$2:C$42))</f>
        <v>0.70653172083473303</v>
      </c>
      <c r="D25">
        <f>STANDARDIZE(Sheet2!D25,AVERAGE(Sheet2!D$2:D$42),STDEV(Sheet2!D$2:D$42))</f>
        <v>0.71001104598243192</v>
      </c>
    </row>
    <row r="26" spans="1:4" x14ac:dyDescent="0.45">
      <c r="A26" s="2">
        <v>44197</v>
      </c>
      <c r="B26" s="3">
        <f>-Sheet2!B26</f>
        <v>-0.14159131050109863</v>
      </c>
      <c r="C26">
        <f>STANDARDIZE(Sheet2!C26,AVERAGE(Sheet2!C$2:C$42),STDEV(Sheet2!C$2:C$42))</f>
        <v>0.54100100080358304</v>
      </c>
      <c r="D26">
        <f>STANDARDIZE(Sheet2!D26,AVERAGE(Sheet2!D$2:D$42),STDEV(Sheet2!D$2:D$42))</f>
        <v>0.54861831035383168</v>
      </c>
    </row>
    <row r="27" spans="1:4" x14ac:dyDescent="0.45">
      <c r="A27" s="2">
        <v>44228</v>
      </c>
      <c r="B27" s="3">
        <f>-Sheet2!B27</f>
        <v>-0.13509456813335419</v>
      </c>
      <c r="C27">
        <f>STANDARDIZE(Sheet2!C27,AVERAGE(Sheet2!C$2:C$42),STDEV(Sheet2!C$2:C$42))</f>
        <v>0.36734584035243939</v>
      </c>
      <c r="D27">
        <f>STANDARDIZE(Sheet2!D27,AVERAGE(Sheet2!D$2:D$42),STDEV(Sheet2!D$2:D$42))</f>
        <v>0.39577014763847274</v>
      </c>
    </row>
    <row r="28" spans="1:4" x14ac:dyDescent="0.45">
      <c r="A28" s="2">
        <v>44256</v>
      </c>
      <c r="B28" s="3">
        <f>-Sheet2!B28</f>
        <v>-0.32585084438323975</v>
      </c>
      <c r="C28">
        <f>STANDARDIZE(Sheet2!C28,AVERAGE(Sheet2!C$2:C$42),STDEV(Sheet2!C$2:C$42))</f>
        <v>0.7241868024577095</v>
      </c>
      <c r="D28">
        <f>STANDARDIZE(Sheet2!D28,AVERAGE(Sheet2!D$2:D$42),STDEV(Sheet2!D$2:D$42))</f>
        <v>0.74125493219056071</v>
      </c>
    </row>
    <row r="29" spans="1:4" x14ac:dyDescent="0.45">
      <c r="A29" s="2">
        <v>44287</v>
      </c>
      <c r="B29" s="3">
        <f>-Sheet2!B29</f>
        <v>-0.18319432437419891</v>
      </c>
      <c r="C29">
        <f>STANDARDIZE(Sheet2!C29,AVERAGE(Sheet2!C$2:C$42),STDEV(Sheet2!C$2:C$42))</f>
        <v>-0.61732132449521093</v>
      </c>
      <c r="D29">
        <f>STANDARDIZE(Sheet2!D29,AVERAGE(Sheet2!D$2:D$42),STDEV(Sheet2!D$2:D$42))</f>
        <v>-0.42796820054559892</v>
      </c>
    </row>
    <row r="30" spans="1:4" x14ac:dyDescent="0.45">
      <c r="A30" s="2">
        <v>44317</v>
      </c>
      <c r="B30" s="3">
        <f>-Sheet2!B30</f>
        <v>-0.31941378116607666</v>
      </c>
      <c r="C30">
        <f>STANDARDIZE(Sheet2!C30,AVERAGE(Sheet2!C$2:C$42),STDEV(Sheet2!C$2:C$42))</f>
        <v>-1.2758200380048907</v>
      </c>
      <c r="D30">
        <f>STANDARDIZE(Sheet2!D30,AVERAGE(Sheet2!D$2:D$42),STDEV(Sheet2!D$2:D$42))</f>
        <v>-0.93042662168688706</v>
      </c>
    </row>
    <row r="31" spans="1:4" x14ac:dyDescent="0.45">
      <c r="A31" s="2">
        <v>44348</v>
      </c>
      <c r="B31" s="3">
        <f>-Sheet2!B31</f>
        <v>-0.1879427433013916</v>
      </c>
      <c r="C31">
        <f>STANDARDIZE(Sheet2!C31,AVERAGE(Sheet2!C$2:C$42),STDEV(Sheet2!C$2:C$42))</f>
        <v>0.13727863186372699</v>
      </c>
      <c r="D31">
        <f>STANDARDIZE(Sheet2!D31,AVERAGE(Sheet2!D$2:D$42),STDEV(Sheet2!D$2:D$42))</f>
        <v>0.16388088454595348</v>
      </c>
    </row>
    <row r="32" spans="1:4" x14ac:dyDescent="0.45">
      <c r="A32" s="2">
        <v>44378</v>
      </c>
      <c r="B32" s="3">
        <f>-Sheet2!B32</f>
        <v>-0.19035238027572632</v>
      </c>
      <c r="C32">
        <f>STANDARDIZE(Sheet2!C32,AVERAGE(Sheet2!C$2:C$42),STDEV(Sheet2!C$2:C$42))</f>
        <v>0.24261917136567795</v>
      </c>
      <c r="D32">
        <f>STANDARDIZE(Sheet2!D32,AVERAGE(Sheet2!D$2:D$42),STDEV(Sheet2!D$2:D$42))</f>
        <v>0.33649368367640731</v>
      </c>
    </row>
    <row r="33" spans="1:4" x14ac:dyDescent="0.45">
      <c r="A33" s="2">
        <v>44409</v>
      </c>
      <c r="B33" s="3">
        <f>-Sheet2!B33</f>
        <v>-0.15001499652862549</v>
      </c>
      <c r="C33">
        <f>STANDARDIZE(Sheet2!C33,AVERAGE(Sheet2!C$2:C$42),STDEV(Sheet2!C$2:C$42))</f>
        <v>0.88307718060893181</v>
      </c>
      <c r="D33">
        <f>STANDARDIZE(Sheet2!D33,AVERAGE(Sheet2!D$2:D$42),STDEV(Sheet2!D$2:D$42))</f>
        <v>0.89613812929556669</v>
      </c>
    </row>
    <row r="34" spans="1:4" x14ac:dyDescent="0.45">
      <c r="A34" s="2">
        <v>44440</v>
      </c>
      <c r="B34" s="3">
        <f>-Sheet2!B34</f>
        <v>-0.44324532151222229</v>
      </c>
      <c r="C34">
        <f>STANDARDIZE(Sheet2!C34,AVERAGE(Sheet2!C$2:C$42),STDEV(Sheet2!C$2:C$42))</f>
        <v>0.870367468100676</v>
      </c>
      <c r="D34">
        <f>STANDARDIZE(Sheet2!D34,AVERAGE(Sheet2!D$2:D$42),STDEV(Sheet2!D$2:D$42))</f>
        <v>0.88454521617775617</v>
      </c>
    </row>
    <row r="35" spans="1:4" x14ac:dyDescent="0.45">
      <c r="A35" s="2">
        <v>44470</v>
      </c>
      <c r="B35" s="3">
        <f>-Sheet2!B35</f>
        <v>-0.26264861226081848</v>
      </c>
      <c r="C35">
        <f>STANDARDIZE(Sheet2!C35,AVERAGE(Sheet2!C$2:C$42),STDEV(Sheet2!C$2:C$42))</f>
        <v>0.82775241099049746</v>
      </c>
      <c r="D35">
        <f>STANDARDIZE(Sheet2!D35,AVERAGE(Sheet2!D$2:D$42),STDEV(Sheet2!D$2:D$42))</f>
        <v>0.87387511808676122</v>
      </c>
    </row>
    <row r="36" spans="1:4" x14ac:dyDescent="0.45">
      <c r="A36" s="2">
        <v>44501</v>
      </c>
      <c r="B36" s="3">
        <f>-Sheet2!B36</f>
        <v>-0.16089712083339691</v>
      </c>
      <c r="C36">
        <f>STANDARDIZE(Sheet2!C36,AVERAGE(Sheet2!C$2:C$42),STDEV(Sheet2!C$2:C$42))</f>
        <v>0.90656971251542673</v>
      </c>
      <c r="D36">
        <f>STANDARDIZE(Sheet2!D36,AVERAGE(Sheet2!D$2:D$42),STDEV(Sheet2!D$2:D$42))</f>
        <v>0.90807523175988181</v>
      </c>
    </row>
    <row r="37" spans="1:4" x14ac:dyDescent="0.45">
      <c r="A37" s="2">
        <v>44531</v>
      </c>
      <c r="B37" s="3">
        <f>-Sheet2!B37</f>
        <v>-0.15223017334938049</v>
      </c>
      <c r="C37">
        <f>STANDARDIZE(Sheet2!C37,AVERAGE(Sheet2!C$2:C$42),STDEV(Sheet2!C$2:C$42))</f>
        <v>0.97700120127527001</v>
      </c>
      <c r="D37">
        <f>STANDARDIZE(Sheet2!D37,AVERAGE(Sheet2!D$2:D$42),STDEV(Sheet2!D$2:D$42))</f>
        <v>1.0013636350800392</v>
      </c>
    </row>
    <row r="38" spans="1:4" x14ac:dyDescent="0.45">
      <c r="A38" s="2">
        <v>44562</v>
      </c>
      <c r="B38" s="3">
        <f>-Sheet2!B38</f>
        <v>-0.22030843794345856</v>
      </c>
      <c r="C38">
        <f>STANDARDIZE(Sheet2!C38,AVERAGE(Sheet2!C$2:C$42),STDEV(Sheet2!C$2:C$42))</f>
        <v>1.0374251194646258</v>
      </c>
      <c r="D38">
        <f>STANDARDIZE(Sheet2!D38,AVERAGE(Sheet2!D$2:D$42),STDEV(Sheet2!D$2:D$42))</f>
        <v>1.0548043602572579</v>
      </c>
    </row>
    <row r="39" spans="1:4" x14ac:dyDescent="0.45">
      <c r="A39" s="2">
        <v>44593</v>
      </c>
      <c r="B39" s="3">
        <f>-Sheet2!B39</f>
        <v>-0.17175871133804321</v>
      </c>
      <c r="C39">
        <f>STANDARDIZE(Sheet2!C39,AVERAGE(Sheet2!C$2:C$42),STDEV(Sheet2!C$2:C$42))</f>
        <v>0.83076436739931703</v>
      </c>
      <c r="D39">
        <f>STANDARDIZE(Sheet2!D39,AVERAGE(Sheet2!D$2:D$42),STDEV(Sheet2!D$2:D$42))</f>
        <v>0.77838556628138988</v>
      </c>
    </row>
    <row r="40" spans="1:4" x14ac:dyDescent="0.45">
      <c r="A40" s="2">
        <v>44621</v>
      </c>
      <c r="B40" s="3">
        <f>-Sheet2!B40</f>
        <v>-0.47818291187286377</v>
      </c>
      <c r="C40">
        <f>STANDARDIZE(Sheet2!C40,AVERAGE(Sheet2!C$2:C$42),STDEV(Sheet2!C$2:C$42))</f>
        <v>0.81578705057244905</v>
      </c>
      <c r="D40">
        <f>STANDARDIZE(Sheet2!D40,AVERAGE(Sheet2!D$2:D$42),STDEV(Sheet2!D$2:D$42))</f>
        <v>0.7275824294216291</v>
      </c>
    </row>
    <row r="41" spans="1:4" x14ac:dyDescent="0.45">
      <c r="A41" s="2">
        <v>44652</v>
      </c>
      <c r="B41" s="3">
        <f>-Sheet2!B41</f>
        <v>-0.43596729636192322</v>
      </c>
      <c r="C41">
        <f>STANDARDIZE(Sheet2!C41,AVERAGE(Sheet2!C$2:C$42),STDEV(Sheet2!C$2:C$42))</f>
        <v>0.90916820791196074</v>
      </c>
      <c r="D41">
        <f>STANDARDIZE(Sheet2!D41,AVERAGE(Sheet2!D$2:D$42),STDEV(Sheet2!D$2:D$42))</f>
        <v>0.81945282324741642</v>
      </c>
    </row>
    <row r="42" spans="1:4" x14ac:dyDescent="0.45">
      <c r="A42" s="2">
        <v>44682</v>
      </c>
      <c r="B42" s="3">
        <f>-Sheet2!B42</f>
        <v>-0.33203125</v>
      </c>
      <c r="C42">
        <f>STANDARDIZE(Sheet2!C42,AVERAGE(Sheet2!C$2:C$42),STDEV(Sheet2!C$2:C$42))</f>
        <v>0.90480156543666379</v>
      </c>
      <c r="D42">
        <f>STANDARDIZE(Sheet2!D42,AVERAGE(Sheet2!D$2:D$42),STDEV(Sheet2!D$2:D$42))</f>
        <v>0.8573507221240283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2022-07-01T07:30:04Z</dcterms:created>
  <dcterms:modified xsi:type="dcterms:W3CDTF">2022-07-01T10:13:57Z</dcterms:modified>
</cp:coreProperties>
</file>