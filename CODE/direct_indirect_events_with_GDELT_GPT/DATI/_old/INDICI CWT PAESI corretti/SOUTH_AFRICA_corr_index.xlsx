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INDICI CORRETTI PAESI\"/>
    </mc:Choice>
  </mc:AlternateContent>
  <xr:revisionPtr revIDLastSave="0" documentId="13_ncr:1_{73FE0089-D6CF-44FF-8BE4-EA85789632E0}" xr6:coauthVersionLast="36" xr6:coauthVersionMax="36" xr10:uidLastSave="{00000000-0000-0000-0000-000000000000}"/>
  <bookViews>
    <workbookView xWindow="0" yWindow="0" windowWidth="20520" windowHeight="8865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F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D2" i="3"/>
  <c r="C2" i="3"/>
  <c r="B2" i="3"/>
</calcChain>
</file>

<file path=xl/sharedStrings.xml><?xml version="1.0" encoding="utf-8"?>
<sst xmlns="http://schemas.openxmlformats.org/spreadsheetml/2006/main" count="10" uniqueCount="7">
  <si>
    <t>CWT_ID</t>
  </si>
  <si>
    <t>month</t>
  </si>
  <si>
    <t>GPRC_ZAF</t>
  </si>
  <si>
    <t>CWT_corr</t>
  </si>
  <si>
    <t>CWT_stand</t>
  </si>
  <si>
    <t>CWT_corr_stand</t>
  </si>
  <si>
    <t xml:space="preserve"> -GPRC_ZAF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</si>
</sst>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AFRICA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Sheet2!$C$2:$C$42</c:f>
              <c:numCache>
                <c:formatCode>General</c:formatCode>
                <c:ptCount val="41"/>
                <c:pt idx="0">
                  <c:v>-135.14075281064549</c:v>
                </c:pt>
                <c:pt idx="1">
                  <c:v>-92.552235048410211</c:v>
                </c:pt>
                <c:pt idx="2">
                  <c:v>-116.5975293852247</c:v>
                </c:pt>
                <c:pt idx="3">
                  <c:v>-135.31070710020941</c:v>
                </c:pt>
                <c:pt idx="4">
                  <c:v>-92.840807169028992</c:v>
                </c:pt>
                <c:pt idx="5">
                  <c:v>-76.358707578362626</c:v>
                </c:pt>
                <c:pt idx="6">
                  <c:v>-91.128386436876028</c:v>
                </c:pt>
                <c:pt idx="7">
                  <c:v>-77.701543202591338</c:v>
                </c:pt>
                <c:pt idx="8">
                  <c:v>-319.47959080938278</c:v>
                </c:pt>
                <c:pt idx="9">
                  <c:v>-96.006076708952151</c:v>
                </c:pt>
                <c:pt idx="10">
                  <c:v>-85.831211729489951</c:v>
                </c:pt>
                <c:pt idx="11">
                  <c:v>-74.277034070669572</c:v>
                </c:pt>
                <c:pt idx="12">
                  <c:v>-83.606812724698145</c:v>
                </c:pt>
                <c:pt idx="13">
                  <c:v>-150.4414313432996</c:v>
                </c:pt>
                <c:pt idx="14">
                  <c:v>-327.53660705274802</c:v>
                </c:pt>
                <c:pt idx="15">
                  <c:v>-296.87451096164062</c:v>
                </c:pt>
                <c:pt idx="16">
                  <c:v>-212.62851805138621</c:v>
                </c:pt>
                <c:pt idx="17">
                  <c:v>-358.42323916399999</c:v>
                </c:pt>
                <c:pt idx="18">
                  <c:v>-341.09986500965169</c:v>
                </c:pt>
                <c:pt idx="19">
                  <c:v>-204.53293495690249</c:v>
                </c:pt>
                <c:pt idx="20">
                  <c:v>-132.65668222150009</c:v>
                </c:pt>
                <c:pt idx="21">
                  <c:v>-61.383322751048141</c:v>
                </c:pt>
                <c:pt idx="22">
                  <c:v>-90.483861677340045</c:v>
                </c:pt>
                <c:pt idx="23">
                  <c:v>-151.775017778734</c:v>
                </c:pt>
                <c:pt idx="24">
                  <c:v>-208.26722177142759</c:v>
                </c:pt>
                <c:pt idx="25">
                  <c:v>-219.46220354729721</c:v>
                </c:pt>
                <c:pt idx="26">
                  <c:v>-152.03178471041079</c:v>
                </c:pt>
                <c:pt idx="27">
                  <c:v>-131.2544443895107</c:v>
                </c:pt>
                <c:pt idx="28">
                  <c:v>-103.3346085456229</c:v>
                </c:pt>
                <c:pt idx="29">
                  <c:v>-123.9141423331743</c:v>
                </c:pt>
                <c:pt idx="30">
                  <c:v>-406.85069363626599</c:v>
                </c:pt>
                <c:pt idx="31">
                  <c:v>-79.983700057338226</c:v>
                </c:pt>
                <c:pt idx="32">
                  <c:v>-104.12260812933501</c:v>
                </c:pt>
                <c:pt idx="33">
                  <c:v>-73.914278670830655</c:v>
                </c:pt>
                <c:pt idx="34">
                  <c:v>-310.37833545232229</c:v>
                </c:pt>
                <c:pt idx="35">
                  <c:v>-236.99933283222151</c:v>
                </c:pt>
                <c:pt idx="36">
                  <c:v>-105.1259304367791</c:v>
                </c:pt>
                <c:pt idx="37">
                  <c:v>-90.112235834247159</c:v>
                </c:pt>
                <c:pt idx="38">
                  <c:v>-94.915018963643604</c:v>
                </c:pt>
                <c:pt idx="39">
                  <c:v>-121.06687582444221</c:v>
                </c:pt>
                <c:pt idx="40">
                  <c:v>-65.348112967156311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1-4C17-A89B-2D846257D9B8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CWT_corr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Sheet2!$D$2:$D$42</c:f>
              <c:numCache>
                <c:formatCode>General</c:formatCode>
                <c:ptCount val="41"/>
                <c:pt idx="0">
                  <c:v>-51.010289822807813</c:v>
                </c:pt>
                <c:pt idx="1">
                  <c:v>-34.721691012743129</c:v>
                </c:pt>
                <c:pt idx="2">
                  <c:v>-38.412710192336817</c:v>
                </c:pt>
                <c:pt idx="3">
                  <c:v>-46.390725070422533</c:v>
                </c:pt>
                <c:pt idx="4">
                  <c:v>-36.01539789489626</c:v>
                </c:pt>
                <c:pt idx="5">
                  <c:v>-27.32594569640063</c:v>
                </c:pt>
                <c:pt idx="6">
                  <c:v>-34.546577585945784</c:v>
                </c:pt>
                <c:pt idx="7">
                  <c:v>-30.506485764046641</c:v>
                </c:pt>
                <c:pt idx="8">
                  <c:v>-110.8007111580595</c:v>
                </c:pt>
                <c:pt idx="9">
                  <c:v>-35.951271815841281</c:v>
                </c:pt>
                <c:pt idx="10">
                  <c:v>-31.840302378716739</c:v>
                </c:pt>
                <c:pt idx="11">
                  <c:v>-28.689860684537329</c:v>
                </c:pt>
                <c:pt idx="12">
                  <c:v>-32.259289565349093</c:v>
                </c:pt>
                <c:pt idx="13">
                  <c:v>-56.657577351465108</c:v>
                </c:pt>
                <c:pt idx="14">
                  <c:v>-127.77431728002421</c:v>
                </c:pt>
                <c:pt idx="15">
                  <c:v>-111.06688197183099</c:v>
                </c:pt>
                <c:pt idx="16">
                  <c:v>-78.183050234741771</c:v>
                </c:pt>
                <c:pt idx="17">
                  <c:v>-133.96861690140841</c:v>
                </c:pt>
                <c:pt idx="18">
                  <c:v>-117.1055972285325</c:v>
                </c:pt>
                <c:pt idx="19">
                  <c:v>-72.118786869604733</c:v>
                </c:pt>
                <c:pt idx="20">
                  <c:v>-44.901286181533649</c:v>
                </c:pt>
                <c:pt idx="21">
                  <c:v>-20.338927370892019</c:v>
                </c:pt>
                <c:pt idx="22">
                  <c:v>-32.441329749608762</c:v>
                </c:pt>
                <c:pt idx="23">
                  <c:v>-54.018283492351962</c:v>
                </c:pt>
                <c:pt idx="24">
                  <c:v>-71.899437619263978</c:v>
                </c:pt>
                <c:pt idx="25">
                  <c:v>-75.980745959087855</c:v>
                </c:pt>
                <c:pt idx="26">
                  <c:v>-50.539229532030888</c:v>
                </c:pt>
                <c:pt idx="27">
                  <c:v>-44.654665508607202</c:v>
                </c:pt>
                <c:pt idx="28">
                  <c:v>-35.756000121157051</c:v>
                </c:pt>
                <c:pt idx="29">
                  <c:v>-45.031916118935833</c:v>
                </c:pt>
                <c:pt idx="30">
                  <c:v>-151.12351004089049</c:v>
                </c:pt>
                <c:pt idx="31">
                  <c:v>-25.940066863546871</c:v>
                </c:pt>
                <c:pt idx="32">
                  <c:v>-34.109897198748037</c:v>
                </c:pt>
                <c:pt idx="33">
                  <c:v>-24.522355686809028</c:v>
                </c:pt>
                <c:pt idx="34">
                  <c:v>-129.10486035993739</c:v>
                </c:pt>
                <c:pt idx="35">
                  <c:v>-89.083829047402688</c:v>
                </c:pt>
                <c:pt idx="36">
                  <c:v>-36.269933439345749</c:v>
                </c:pt>
                <c:pt idx="37">
                  <c:v>-31.188603554661299</c:v>
                </c:pt>
                <c:pt idx="38">
                  <c:v>-35.203382916855979</c:v>
                </c:pt>
                <c:pt idx="39">
                  <c:v>-41.366358294209697</c:v>
                </c:pt>
                <c:pt idx="40">
                  <c:v>-23.370640109546169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01-4C17-A89B-2D846257D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6140304"/>
        <c:axId val="1670208464"/>
      </c:lineChart>
      <c:dateAx>
        <c:axId val="16761403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208464"/>
        <c:crosses val="autoZero"/>
        <c:auto val="1"/>
        <c:lblOffset val="100"/>
        <c:baseTimeUnit val="months"/>
      </c:dateAx>
      <c:valAx>
        <c:axId val="167020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14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AFRICA   CORR=0.119956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 -GPRC_ZAF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Sheet3!$B$2:$B$42</c:f>
              <c:numCache>
                <c:formatCode>#,##0.00</c:formatCode>
                <c:ptCount val="41"/>
                <c:pt idx="0">
                  <c:v>-4.2498938739299802E-2</c:v>
                </c:pt>
                <c:pt idx="1">
                  <c:v>-1.4162968844175339E-2</c:v>
                </c:pt>
                <c:pt idx="2">
                  <c:v>-2.0855927839875221E-2</c:v>
                </c:pt>
                <c:pt idx="3">
                  <c:v>-3.1336735934019089E-2</c:v>
                </c:pt>
                <c:pt idx="4">
                  <c:v>-2.1490586921572685E-2</c:v>
                </c:pt>
                <c:pt idx="5">
                  <c:v>-5.1773231476545334E-2</c:v>
                </c:pt>
                <c:pt idx="6">
                  <c:v>-2.6546323671936989E-2</c:v>
                </c:pt>
                <c:pt idx="7">
                  <c:v>-4.4243872165679932E-2</c:v>
                </c:pt>
                <c:pt idx="8">
                  <c:v>-2.6573365554213524E-2</c:v>
                </c:pt>
                <c:pt idx="9">
                  <c:v>-2.9429076239466667E-2</c:v>
                </c:pt>
                <c:pt idx="10">
                  <c:v>-2.6408450677990913E-2</c:v>
                </c:pt>
                <c:pt idx="11">
                  <c:v>-1.456169318407774E-2</c:v>
                </c:pt>
                <c:pt idx="12">
                  <c:v>-1.3236267492175102E-2</c:v>
                </c:pt>
                <c:pt idx="13">
                  <c:v>-4.9041461199522018E-2</c:v>
                </c:pt>
                <c:pt idx="14">
                  <c:v>-3.4205574542284012E-2</c:v>
                </c:pt>
                <c:pt idx="15">
                  <c:v>-3.7138480693101883E-2</c:v>
                </c:pt>
                <c:pt idx="16">
                  <c:v>-1.3518384657800198E-2</c:v>
                </c:pt>
                <c:pt idx="17">
                  <c:v>-8.3056479692459106E-2</c:v>
                </c:pt>
                <c:pt idx="18">
                  <c:v>-1.800261065363884E-2</c:v>
                </c:pt>
                <c:pt idx="19">
                  <c:v>-2.6715347543358803E-2</c:v>
                </c:pt>
                <c:pt idx="20">
                  <c:v>-3.1367629766464233E-2</c:v>
                </c:pt>
                <c:pt idx="21">
                  <c:v>-4.2181634344160557E-3</c:v>
                </c:pt>
                <c:pt idx="22">
                  <c:v>-7.8006699681282043E-2</c:v>
                </c:pt>
                <c:pt idx="23">
                  <c:v>-4.249291867017746E-2</c:v>
                </c:pt>
                <c:pt idx="24">
                  <c:v>-5.0242073833942413E-2</c:v>
                </c:pt>
                <c:pt idx="25">
                  <c:v>-3.0021015554666519E-2</c:v>
                </c:pt>
                <c:pt idx="26">
                  <c:v>-9.95655357837677E-2</c:v>
                </c:pt>
                <c:pt idx="27">
                  <c:v>-7.7134452760219574E-2</c:v>
                </c:pt>
                <c:pt idx="28">
                  <c:v>-4.2275354266166687E-2</c:v>
                </c:pt>
                <c:pt idx="29">
                  <c:v>-4.8190448433160782E-2</c:v>
                </c:pt>
                <c:pt idx="30">
                  <c:v>-3.7141930311918259E-2</c:v>
                </c:pt>
                <c:pt idx="31">
                  <c:v>-3.0003000050783157E-2</c:v>
                </c:pt>
                <c:pt idx="32">
                  <c:v>-1.927153579890728E-2</c:v>
                </c:pt>
                <c:pt idx="33">
                  <c:v>-4.1470833122730255E-2</c:v>
                </c:pt>
                <c:pt idx="34">
                  <c:v>-9.2637740075588226E-2</c:v>
                </c:pt>
                <c:pt idx="35">
                  <c:v>-5.5817730724811554E-2</c:v>
                </c:pt>
                <c:pt idx="36">
                  <c:v>-6.5091125667095184E-2</c:v>
                </c:pt>
                <c:pt idx="37">
                  <c:v>-5.7252902537584305E-2</c:v>
                </c:pt>
                <c:pt idx="38">
                  <c:v>-0.10460250824689865</c:v>
                </c:pt>
                <c:pt idx="39">
                  <c:v>-8.4771417081356049E-2</c:v>
                </c:pt>
                <c:pt idx="40">
                  <c:v>-3.90625E-2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11-4A07-B6C2-DCD1CCBB2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7462240"/>
        <c:axId val="1670208880"/>
      </c:lineChart>
      <c:lineChart>
        <c:grouping val="standard"/>
        <c:varyColors val="0"/>
        <c:ser>
          <c:idx val="1"/>
          <c:order val="1"/>
          <c:tx>
            <c:strRef>
              <c:f>Sheet3!$D$1</c:f>
              <c:strCache>
                <c:ptCount val="1"/>
                <c:pt idx="0">
                  <c:v>CWT_corr_stand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Sheet3!$D$2:$D$42</c:f>
              <c:numCache>
                <c:formatCode>General</c:formatCode>
                <c:ptCount val="41"/>
                <c:pt idx="0">
                  <c:v>0.16430261115558698</c:v>
                </c:pt>
                <c:pt idx="1">
                  <c:v>0.62003578700250106</c:v>
                </c:pt>
                <c:pt idx="2">
                  <c:v>0.51676601454124271</c:v>
                </c:pt>
                <c:pt idx="3">
                  <c:v>0.29355184494076403</c:v>
                </c:pt>
                <c:pt idx="4">
                  <c:v>0.58383960138251068</c:v>
                </c:pt>
                <c:pt idx="5">
                  <c:v>0.82695883422551275</c:v>
                </c:pt>
                <c:pt idx="6">
                  <c:v>0.62493522611683905</c:v>
                </c:pt>
                <c:pt idx="7">
                  <c:v>0.73797158352098646</c:v>
                </c:pt>
                <c:pt idx="8">
                  <c:v>-1.5085532875054184</c:v>
                </c:pt>
                <c:pt idx="9">
                  <c:v>0.58563376317648141</c:v>
                </c:pt>
                <c:pt idx="10">
                  <c:v>0.70065318131284893</c:v>
                </c:pt>
                <c:pt idx="11">
                  <c:v>0.78879831984506954</c:v>
                </c:pt>
                <c:pt idx="12">
                  <c:v>0.68893048107142973</c:v>
                </c:pt>
                <c:pt idx="13">
                  <c:v>6.2990707426815017E-3</c:v>
                </c:pt>
                <c:pt idx="14">
                  <c:v>-1.9834520503602007</c:v>
                </c:pt>
                <c:pt idx="15">
                  <c:v>-1.5160003903343546</c:v>
                </c:pt>
                <c:pt idx="16">
                  <c:v>-0.59595482678967149</c:v>
                </c:pt>
                <c:pt idx="17">
                  <c:v>-2.1567602563954842</c:v>
                </c:pt>
                <c:pt idx="18">
                  <c:v>-1.6849555542537527</c:v>
                </c:pt>
                <c:pt idx="19">
                  <c:v>-0.4262848610183787</c:v>
                </c:pt>
                <c:pt idx="20">
                  <c:v>0.33522434992282601</c:v>
                </c:pt>
                <c:pt idx="21">
                  <c:v>1.0224462477418372</c:v>
                </c:pt>
                <c:pt idx="22">
                  <c:v>0.68383724056180684</c:v>
                </c:pt>
                <c:pt idx="23">
                  <c:v>8.0142977541078173E-2</c:v>
                </c:pt>
                <c:pt idx="24">
                  <c:v>-0.42014776281594374</c:v>
                </c:pt>
                <c:pt idx="25">
                  <c:v>-0.53433730318138939</c:v>
                </c:pt>
                <c:pt idx="26">
                  <c:v>0.17748224709815133</c:v>
                </c:pt>
                <c:pt idx="27">
                  <c:v>0.3421244659986683</c:v>
                </c:pt>
                <c:pt idx="28">
                  <c:v>0.59109720362394735</c:v>
                </c:pt>
                <c:pt idx="29">
                  <c:v>0.33156949925536433</c:v>
                </c:pt>
                <c:pt idx="30">
                  <c:v>-2.6367311871633197</c:v>
                </c:pt>
                <c:pt idx="31">
                  <c:v>0.86573386756019099</c:v>
                </c:pt>
                <c:pt idx="32">
                  <c:v>0.63715295840973107</c:v>
                </c:pt>
                <c:pt idx="33">
                  <c:v>0.90539952723677286</c:v>
                </c:pt>
                <c:pt idx="34">
                  <c:v>-2.0206788634507959</c:v>
                </c:pt>
                <c:pt idx="35">
                  <c:v>-0.9009440161869261</c:v>
                </c:pt>
                <c:pt idx="36">
                  <c:v>0.57671803780356046</c:v>
                </c:pt>
                <c:pt idx="37">
                  <c:v>0.7188868414481191</c:v>
                </c:pt>
                <c:pt idx="38">
                  <c:v>0.60655869276002672</c:v>
                </c:pt>
                <c:pt idx="39">
                  <c:v>0.43412689711335201</c:v>
                </c:pt>
                <c:pt idx="40">
                  <c:v>0.93762298634573227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11-4A07-B6C2-DCD1CCBB2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7457840"/>
        <c:axId val="1670207632"/>
      </c:lineChart>
      <c:dateAx>
        <c:axId val="16774622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208880"/>
        <c:crosses val="autoZero"/>
        <c:auto val="1"/>
        <c:lblOffset val="100"/>
        <c:baseTimeUnit val="months"/>
      </c:dateAx>
      <c:valAx>
        <c:axId val="167020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462240"/>
        <c:crosses val="autoZero"/>
        <c:crossBetween val="between"/>
      </c:valAx>
      <c:valAx>
        <c:axId val="167020763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457840"/>
        <c:crosses val="max"/>
        <c:crossBetween val="between"/>
      </c:valAx>
      <c:dateAx>
        <c:axId val="16774578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70207632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150018</xdr:colOff>
      <xdr:row>6</xdr:row>
      <xdr:rowOff>164306</xdr:rowOff>
    </xdr:from>
    <xdr:to>
      <xdr:col>13</xdr:col>
      <xdr:colOff>188118</xdr:colOff>
      <xdr:row>22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55325-3E9A-462F-801C-84EC8D9DD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19</xdr:row>
      <xdr:rowOff>164306</xdr:rowOff>
    </xdr:from>
    <xdr:to>
      <xdr:col>13</xdr:col>
      <xdr:colOff>159543</xdr:colOff>
      <xdr:row>35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6AD069-574E-49AF-B9FA-1161B184E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opLeftCell="A14" workbookViewId="0">
      <selection activeCell="B1" sqref="B1:B42"/>
    </sheetView>
  </sheetViews>
  <sheetFormatPr defaultRowHeight="14.25" x14ac:dyDescent="0.45"/>
  <sheetData>
    <row r="1" spans="1:2" x14ac:dyDescent="0.45">
      <c r="A1" t="s">
        <v>1</v>
      </c>
      <c r="B1" s="1" t="s">
        <v>3</v>
      </c>
    </row>
    <row r="2" spans="1:2" x14ac:dyDescent="0.45">
      <c r="A2" s="2">
        <v>43466</v>
      </c>
      <c r="B2">
        <v>-51.010289822807813</v>
      </c>
    </row>
    <row r="3" spans="1:2" x14ac:dyDescent="0.45">
      <c r="A3" s="2">
        <v>43497</v>
      </c>
      <c r="B3">
        <v>-34.721691012743129</v>
      </c>
    </row>
    <row r="4" spans="1:2" x14ac:dyDescent="0.45">
      <c r="A4" s="2">
        <v>43525</v>
      </c>
      <c r="B4">
        <v>-38.412710192336817</v>
      </c>
    </row>
    <row r="5" spans="1:2" x14ac:dyDescent="0.45">
      <c r="A5" s="2">
        <v>43556</v>
      </c>
      <c r="B5">
        <v>-46.390725070422533</v>
      </c>
    </row>
    <row r="6" spans="1:2" x14ac:dyDescent="0.45">
      <c r="A6" s="2">
        <v>43586</v>
      </c>
      <c r="B6">
        <v>-36.01539789489626</v>
      </c>
    </row>
    <row r="7" spans="1:2" x14ac:dyDescent="0.45">
      <c r="A7" s="2">
        <v>43617</v>
      </c>
      <c r="B7">
        <v>-27.32594569640063</v>
      </c>
    </row>
    <row r="8" spans="1:2" x14ac:dyDescent="0.45">
      <c r="A8" s="2">
        <v>43647</v>
      </c>
      <c r="B8">
        <v>-34.546577585945784</v>
      </c>
    </row>
    <row r="9" spans="1:2" x14ac:dyDescent="0.45">
      <c r="A9" s="2">
        <v>43678</v>
      </c>
      <c r="B9">
        <v>-30.506485764046641</v>
      </c>
    </row>
    <row r="10" spans="1:2" x14ac:dyDescent="0.45">
      <c r="A10" s="2">
        <v>43709</v>
      </c>
      <c r="B10">
        <v>-110.8007111580595</v>
      </c>
    </row>
    <row r="11" spans="1:2" x14ac:dyDescent="0.45">
      <c r="A11" s="2">
        <v>43739</v>
      </c>
      <c r="B11">
        <v>-35.951271815841281</v>
      </c>
    </row>
    <row r="12" spans="1:2" x14ac:dyDescent="0.45">
      <c r="A12" s="2">
        <v>43770</v>
      </c>
      <c r="B12">
        <v>-31.840302378716739</v>
      </c>
    </row>
    <row r="13" spans="1:2" x14ac:dyDescent="0.45">
      <c r="A13" s="2">
        <v>43800</v>
      </c>
      <c r="B13">
        <v>-28.689860684537329</v>
      </c>
    </row>
    <row r="14" spans="1:2" x14ac:dyDescent="0.45">
      <c r="A14" s="2">
        <v>43831</v>
      </c>
      <c r="B14">
        <v>-32.259289565349093</v>
      </c>
    </row>
    <row r="15" spans="1:2" x14ac:dyDescent="0.45">
      <c r="A15" s="2">
        <v>43862</v>
      </c>
      <c r="B15">
        <v>-56.657577351465108</v>
      </c>
    </row>
    <row r="16" spans="1:2" x14ac:dyDescent="0.45">
      <c r="A16" s="2">
        <v>43891</v>
      </c>
      <c r="B16">
        <v>-127.77431728002421</v>
      </c>
    </row>
    <row r="17" spans="1:2" x14ac:dyDescent="0.45">
      <c r="A17" s="2">
        <v>43922</v>
      </c>
      <c r="B17">
        <v>-111.06688197183099</v>
      </c>
    </row>
    <row r="18" spans="1:2" x14ac:dyDescent="0.45">
      <c r="A18" s="2">
        <v>43952</v>
      </c>
      <c r="B18">
        <v>-78.183050234741771</v>
      </c>
    </row>
    <row r="19" spans="1:2" x14ac:dyDescent="0.45">
      <c r="A19" s="2">
        <v>43983</v>
      </c>
      <c r="B19">
        <v>-133.96861690140841</v>
      </c>
    </row>
    <row r="20" spans="1:2" x14ac:dyDescent="0.45">
      <c r="A20" s="2">
        <v>44013</v>
      </c>
      <c r="B20">
        <v>-117.1055972285325</v>
      </c>
    </row>
    <row r="21" spans="1:2" x14ac:dyDescent="0.45">
      <c r="A21" s="2">
        <v>44044</v>
      </c>
      <c r="B21">
        <v>-72.118786869604733</v>
      </c>
    </row>
    <row r="22" spans="1:2" x14ac:dyDescent="0.45">
      <c r="A22" s="2">
        <v>44075</v>
      </c>
      <c r="B22">
        <v>-44.901286181533649</v>
      </c>
    </row>
    <row r="23" spans="1:2" x14ac:dyDescent="0.45">
      <c r="A23" s="2">
        <v>44105</v>
      </c>
      <c r="B23">
        <v>-20.338927370892019</v>
      </c>
    </row>
    <row r="24" spans="1:2" x14ac:dyDescent="0.45">
      <c r="A24" s="2">
        <v>44136</v>
      </c>
      <c r="B24">
        <v>-32.441329749608762</v>
      </c>
    </row>
    <row r="25" spans="1:2" x14ac:dyDescent="0.45">
      <c r="A25" s="2">
        <v>44166</v>
      </c>
      <c r="B25">
        <v>-54.018283492351962</v>
      </c>
    </row>
    <row r="26" spans="1:2" x14ac:dyDescent="0.45">
      <c r="A26" s="2">
        <v>44197</v>
      </c>
      <c r="B26">
        <v>-71.899437619263978</v>
      </c>
    </row>
    <row r="27" spans="1:2" x14ac:dyDescent="0.45">
      <c r="A27" s="2">
        <v>44228</v>
      </c>
      <c r="B27">
        <v>-75.980745959087855</v>
      </c>
    </row>
    <row r="28" spans="1:2" x14ac:dyDescent="0.45">
      <c r="A28" s="2">
        <v>44256</v>
      </c>
      <c r="B28">
        <v>-50.539229532030888</v>
      </c>
    </row>
    <row r="29" spans="1:2" x14ac:dyDescent="0.45">
      <c r="A29" s="2">
        <v>44287</v>
      </c>
      <c r="B29">
        <v>-44.654665508607202</v>
      </c>
    </row>
    <row r="30" spans="1:2" x14ac:dyDescent="0.45">
      <c r="A30" s="2">
        <v>44317</v>
      </c>
      <c r="B30">
        <v>-35.756000121157051</v>
      </c>
    </row>
    <row r="31" spans="1:2" x14ac:dyDescent="0.45">
      <c r="A31" s="2">
        <v>44348</v>
      </c>
      <c r="B31">
        <v>-45.031916118935833</v>
      </c>
    </row>
    <row r="32" spans="1:2" x14ac:dyDescent="0.45">
      <c r="A32" s="2">
        <v>44378</v>
      </c>
      <c r="B32">
        <v>-151.12351004089049</v>
      </c>
    </row>
    <row r="33" spans="1:2" x14ac:dyDescent="0.45">
      <c r="A33" s="2">
        <v>44409</v>
      </c>
      <c r="B33">
        <v>-25.940066863546871</v>
      </c>
    </row>
    <row r="34" spans="1:2" x14ac:dyDescent="0.45">
      <c r="A34" s="2">
        <v>44440</v>
      </c>
      <c r="B34">
        <v>-34.109897198748037</v>
      </c>
    </row>
    <row r="35" spans="1:2" x14ac:dyDescent="0.45">
      <c r="A35" s="2">
        <v>44470</v>
      </c>
      <c r="B35">
        <v>-24.522355686809028</v>
      </c>
    </row>
    <row r="36" spans="1:2" x14ac:dyDescent="0.45">
      <c r="A36" s="2">
        <v>44501</v>
      </c>
      <c r="B36">
        <v>-129.10486035993739</v>
      </c>
    </row>
    <row r="37" spans="1:2" x14ac:dyDescent="0.45">
      <c r="A37" s="2">
        <v>44531</v>
      </c>
      <c r="B37">
        <v>-89.083829047402688</v>
      </c>
    </row>
    <row r="38" spans="1:2" x14ac:dyDescent="0.45">
      <c r="A38" s="2">
        <v>44562</v>
      </c>
      <c r="B38">
        <v>-36.269933439345749</v>
      </c>
    </row>
    <row r="39" spans="1:2" x14ac:dyDescent="0.45">
      <c r="A39" s="2">
        <v>44593</v>
      </c>
      <c r="B39">
        <v>-31.188603554661299</v>
      </c>
    </row>
    <row r="40" spans="1:2" x14ac:dyDescent="0.45">
      <c r="A40" s="2">
        <v>44621</v>
      </c>
      <c r="B40">
        <v>-35.203382916855979</v>
      </c>
    </row>
    <row r="41" spans="1:2" x14ac:dyDescent="0.45">
      <c r="A41" s="2">
        <v>44652</v>
      </c>
      <c r="B41">
        <v>-41.366358294209697</v>
      </c>
    </row>
    <row r="42" spans="1:2" x14ac:dyDescent="0.45">
      <c r="A42" s="2">
        <v>44682</v>
      </c>
      <c r="B42">
        <v>-23.370640109546169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E620-4ECD-46F3-B9FC-863E0EC37533}">
  <dimension ref="A1:D42"/>
  <sheetViews>
    <sheetView topLeftCell="A14" workbookViewId="0">
      <selection sqref="A1:A42"/>
    </sheetView>
  </sheetViews>
  <sheetFormatPr defaultRowHeight="14.25" x14ac:dyDescent="0.45"/>
  <sheetData>
    <row r="1" spans="1:4" x14ac:dyDescent="0.45">
      <c r="A1" t="s">
        <v>1</v>
      </c>
      <c r="B1" t="s">
        <v>2</v>
      </c>
      <c r="C1" s="1" t="s">
        <v>0</v>
      </c>
      <c r="D1" s="1" t="s">
        <v>3</v>
      </c>
    </row>
    <row r="2" spans="1:4" x14ac:dyDescent="0.45">
      <c r="A2" s="2">
        <v>43466</v>
      </c>
      <c r="B2" s="3">
        <v>4.2498938739299802E-2</v>
      </c>
      <c r="C2">
        <v>-135.14075281064549</v>
      </c>
      <c r="D2">
        <v>-51.010289822807813</v>
      </c>
    </row>
    <row r="3" spans="1:4" x14ac:dyDescent="0.45">
      <c r="A3" s="2">
        <v>43497</v>
      </c>
      <c r="B3" s="3">
        <v>1.4162968844175339E-2</v>
      </c>
      <c r="C3">
        <v>-92.552235048410211</v>
      </c>
      <c r="D3">
        <v>-34.721691012743129</v>
      </c>
    </row>
    <row r="4" spans="1:4" x14ac:dyDescent="0.45">
      <c r="A4" s="2">
        <v>43525</v>
      </c>
      <c r="B4" s="3">
        <v>2.0855927839875221E-2</v>
      </c>
      <c r="C4">
        <v>-116.5975293852247</v>
      </c>
      <c r="D4">
        <v>-38.412710192336817</v>
      </c>
    </row>
    <row r="5" spans="1:4" x14ac:dyDescent="0.45">
      <c r="A5" s="2">
        <v>43556</v>
      </c>
      <c r="B5" s="3">
        <v>3.1336735934019089E-2</v>
      </c>
      <c r="C5">
        <v>-135.31070710020941</v>
      </c>
      <c r="D5">
        <v>-46.390725070422533</v>
      </c>
    </row>
    <row r="6" spans="1:4" x14ac:dyDescent="0.45">
      <c r="A6" s="2">
        <v>43586</v>
      </c>
      <c r="B6" s="3">
        <v>2.1490586921572685E-2</v>
      </c>
      <c r="C6">
        <v>-92.840807169028992</v>
      </c>
      <c r="D6">
        <v>-36.01539789489626</v>
      </c>
    </row>
    <row r="7" spans="1:4" x14ac:dyDescent="0.45">
      <c r="A7" s="2">
        <v>43617</v>
      </c>
      <c r="B7" s="3">
        <v>5.1773231476545334E-2</v>
      </c>
      <c r="C7">
        <v>-76.358707578362626</v>
      </c>
      <c r="D7">
        <v>-27.32594569640063</v>
      </c>
    </row>
    <row r="8" spans="1:4" x14ac:dyDescent="0.45">
      <c r="A8" s="2">
        <v>43647</v>
      </c>
      <c r="B8" s="3">
        <v>2.6546323671936989E-2</v>
      </c>
      <c r="C8">
        <v>-91.128386436876028</v>
      </c>
      <c r="D8">
        <v>-34.546577585945784</v>
      </c>
    </row>
    <row r="9" spans="1:4" x14ac:dyDescent="0.45">
      <c r="A9" s="2">
        <v>43678</v>
      </c>
      <c r="B9" s="3">
        <v>4.4243872165679932E-2</v>
      </c>
      <c r="C9">
        <v>-77.701543202591338</v>
      </c>
      <c r="D9">
        <v>-30.506485764046641</v>
      </c>
    </row>
    <row r="10" spans="1:4" x14ac:dyDescent="0.45">
      <c r="A10" s="2">
        <v>43709</v>
      </c>
      <c r="B10" s="3">
        <v>2.6573365554213524E-2</v>
      </c>
      <c r="C10">
        <v>-319.47959080938278</v>
      </c>
      <c r="D10">
        <v>-110.8007111580595</v>
      </c>
    </row>
    <row r="11" spans="1:4" x14ac:dyDescent="0.45">
      <c r="A11" s="2">
        <v>43739</v>
      </c>
      <c r="B11" s="3">
        <v>2.9429076239466667E-2</v>
      </c>
      <c r="C11">
        <v>-96.006076708952151</v>
      </c>
      <c r="D11">
        <v>-35.951271815841281</v>
      </c>
    </row>
    <row r="12" spans="1:4" x14ac:dyDescent="0.45">
      <c r="A12" s="2">
        <v>43770</v>
      </c>
      <c r="B12" s="3">
        <v>2.6408450677990913E-2</v>
      </c>
      <c r="C12">
        <v>-85.831211729489951</v>
      </c>
      <c r="D12">
        <v>-31.840302378716739</v>
      </c>
    </row>
    <row r="13" spans="1:4" x14ac:dyDescent="0.45">
      <c r="A13" s="2">
        <v>43800</v>
      </c>
      <c r="B13" s="3">
        <v>1.456169318407774E-2</v>
      </c>
      <c r="C13">
        <v>-74.277034070669572</v>
      </c>
      <c r="D13">
        <v>-28.689860684537329</v>
      </c>
    </row>
    <row r="14" spans="1:4" x14ac:dyDescent="0.45">
      <c r="A14" s="2">
        <v>43831</v>
      </c>
      <c r="B14" s="3">
        <v>1.3236267492175102E-2</v>
      </c>
      <c r="C14">
        <v>-83.606812724698145</v>
      </c>
      <c r="D14">
        <v>-32.259289565349093</v>
      </c>
    </row>
    <row r="15" spans="1:4" x14ac:dyDescent="0.45">
      <c r="A15" s="2">
        <v>43862</v>
      </c>
      <c r="B15" s="3">
        <v>4.9041461199522018E-2</v>
      </c>
      <c r="C15">
        <v>-150.4414313432996</v>
      </c>
      <c r="D15">
        <v>-56.657577351465108</v>
      </c>
    </row>
    <row r="16" spans="1:4" x14ac:dyDescent="0.45">
      <c r="A16" s="2">
        <v>43891</v>
      </c>
      <c r="B16" s="3">
        <v>3.4205574542284012E-2</v>
      </c>
      <c r="C16">
        <v>-327.53660705274802</v>
      </c>
      <c r="D16">
        <v>-127.77431728002421</v>
      </c>
    </row>
    <row r="17" spans="1:4" x14ac:dyDescent="0.45">
      <c r="A17" s="2">
        <v>43922</v>
      </c>
      <c r="B17" s="3">
        <v>3.7138480693101883E-2</v>
      </c>
      <c r="C17">
        <v>-296.87451096164062</v>
      </c>
      <c r="D17">
        <v>-111.06688197183099</v>
      </c>
    </row>
    <row r="18" spans="1:4" x14ac:dyDescent="0.45">
      <c r="A18" s="2">
        <v>43952</v>
      </c>
      <c r="B18" s="3">
        <v>1.3518384657800198E-2</v>
      </c>
      <c r="C18">
        <v>-212.62851805138621</v>
      </c>
      <c r="D18">
        <v>-78.183050234741771</v>
      </c>
    </row>
    <row r="19" spans="1:4" x14ac:dyDescent="0.45">
      <c r="A19" s="2">
        <v>43983</v>
      </c>
      <c r="B19" s="3">
        <v>8.3056479692459106E-2</v>
      </c>
      <c r="C19">
        <v>-358.42323916399999</v>
      </c>
      <c r="D19">
        <v>-133.96861690140841</v>
      </c>
    </row>
    <row r="20" spans="1:4" x14ac:dyDescent="0.45">
      <c r="A20" s="2">
        <v>44013</v>
      </c>
      <c r="B20" s="3">
        <v>1.800261065363884E-2</v>
      </c>
      <c r="C20">
        <v>-341.09986500965169</v>
      </c>
      <c r="D20">
        <v>-117.1055972285325</v>
      </c>
    </row>
    <row r="21" spans="1:4" x14ac:dyDescent="0.45">
      <c r="A21" s="2">
        <v>44044</v>
      </c>
      <c r="B21" s="3">
        <v>2.6715347543358803E-2</v>
      </c>
      <c r="C21">
        <v>-204.53293495690249</v>
      </c>
      <c r="D21">
        <v>-72.118786869604733</v>
      </c>
    </row>
    <row r="22" spans="1:4" x14ac:dyDescent="0.45">
      <c r="A22" s="2">
        <v>44075</v>
      </c>
      <c r="B22" s="3">
        <v>3.1367629766464233E-2</v>
      </c>
      <c r="C22">
        <v>-132.65668222150009</v>
      </c>
      <c r="D22">
        <v>-44.901286181533649</v>
      </c>
    </row>
    <row r="23" spans="1:4" x14ac:dyDescent="0.45">
      <c r="A23" s="2">
        <v>44105</v>
      </c>
      <c r="B23" s="3">
        <v>4.2181634344160557E-3</v>
      </c>
      <c r="C23">
        <v>-61.383322751048141</v>
      </c>
      <c r="D23">
        <v>-20.338927370892019</v>
      </c>
    </row>
    <row r="24" spans="1:4" x14ac:dyDescent="0.45">
      <c r="A24" s="2">
        <v>44136</v>
      </c>
      <c r="B24" s="3">
        <v>7.8006699681282043E-2</v>
      </c>
      <c r="C24">
        <v>-90.483861677340045</v>
      </c>
      <c r="D24">
        <v>-32.441329749608762</v>
      </c>
    </row>
    <row r="25" spans="1:4" x14ac:dyDescent="0.45">
      <c r="A25" s="2">
        <v>44166</v>
      </c>
      <c r="B25" s="3">
        <v>4.249291867017746E-2</v>
      </c>
      <c r="C25">
        <v>-151.775017778734</v>
      </c>
      <c r="D25">
        <v>-54.018283492351962</v>
      </c>
    </row>
    <row r="26" spans="1:4" x14ac:dyDescent="0.45">
      <c r="A26" s="2">
        <v>44197</v>
      </c>
      <c r="B26" s="3">
        <v>5.0242073833942413E-2</v>
      </c>
      <c r="C26">
        <v>-208.26722177142759</v>
      </c>
      <c r="D26">
        <v>-71.899437619263978</v>
      </c>
    </row>
    <row r="27" spans="1:4" x14ac:dyDescent="0.45">
      <c r="A27" s="2">
        <v>44228</v>
      </c>
      <c r="B27" s="3">
        <v>3.0021015554666519E-2</v>
      </c>
      <c r="C27">
        <v>-219.46220354729721</v>
      </c>
      <c r="D27">
        <v>-75.980745959087855</v>
      </c>
    </row>
    <row r="28" spans="1:4" x14ac:dyDescent="0.45">
      <c r="A28" s="2">
        <v>44256</v>
      </c>
      <c r="B28" s="3">
        <v>9.95655357837677E-2</v>
      </c>
      <c r="C28">
        <v>-152.03178471041079</v>
      </c>
      <c r="D28">
        <v>-50.539229532030888</v>
      </c>
    </row>
    <row r="29" spans="1:4" x14ac:dyDescent="0.45">
      <c r="A29" s="2">
        <v>44287</v>
      </c>
      <c r="B29" s="3">
        <v>7.7134452760219574E-2</v>
      </c>
      <c r="C29">
        <v>-131.2544443895107</v>
      </c>
      <c r="D29">
        <v>-44.654665508607202</v>
      </c>
    </row>
    <row r="30" spans="1:4" x14ac:dyDescent="0.45">
      <c r="A30" s="2">
        <v>44317</v>
      </c>
      <c r="B30" s="3">
        <v>4.2275354266166687E-2</v>
      </c>
      <c r="C30">
        <v>-103.3346085456229</v>
      </c>
      <c r="D30">
        <v>-35.756000121157051</v>
      </c>
    </row>
    <row r="31" spans="1:4" x14ac:dyDescent="0.45">
      <c r="A31" s="2">
        <v>44348</v>
      </c>
      <c r="B31" s="3">
        <v>4.8190448433160782E-2</v>
      </c>
      <c r="C31">
        <v>-123.9141423331743</v>
      </c>
      <c r="D31">
        <v>-45.031916118935833</v>
      </c>
    </row>
    <row r="32" spans="1:4" x14ac:dyDescent="0.45">
      <c r="A32" s="2">
        <v>44378</v>
      </c>
      <c r="B32" s="3">
        <v>3.7141930311918259E-2</v>
      </c>
      <c r="C32">
        <v>-406.85069363626599</v>
      </c>
      <c r="D32">
        <v>-151.12351004089049</v>
      </c>
    </row>
    <row r="33" spans="1:4" x14ac:dyDescent="0.45">
      <c r="A33" s="2">
        <v>44409</v>
      </c>
      <c r="B33" s="3">
        <v>3.0003000050783157E-2</v>
      </c>
      <c r="C33">
        <v>-79.983700057338226</v>
      </c>
      <c r="D33">
        <v>-25.940066863546871</v>
      </c>
    </row>
    <row r="34" spans="1:4" x14ac:dyDescent="0.45">
      <c r="A34" s="2">
        <v>44440</v>
      </c>
      <c r="B34" s="3">
        <v>1.927153579890728E-2</v>
      </c>
      <c r="C34">
        <v>-104.12260812933501</v>
      </c>
      <c r="D34">
        <v>-34.109897198748037</v>
      </c>
    </row>
    <row r="35" spans="1:4" x14ac:dyDescent="0.45">
      <c r="A35" s="2">
        <v>44470</v>
      </c>
      <c r="B35" s="3">
        <v>4.1470833122730255E-2</v>
      </c>
      <c r="C35">
        <v>-73.914278670830655</v>
      </c>
      <c r="D35">
        <v>-24.522355686809028</v>
      </c>
    </row>
    <row r="36" spans="1:4" x14ac:dyDescent="0.45">
      <c r="A36" s="2">
        <v>44501</v>
      </c>
      <c r="B36" s="3">
        <v>9.2637740075588226E-2</v>
      </c>
      <c r="C36">
        <v>-310.37833545232229</v>
      </c>
      <c r="D36">
        <v>-129.10486035993739</v>
      </c>
    </row>
    <row r="37" spans="1:4" x14ac:dyDescent="0.45">
      <c r="A37" s="2">
        <v>44531</v>
      </c>
      <c r="B37" s="3">
        <v>5.5817730724811554E-2</v>
      </c>
      <c r="C37">
        <v>-236.99933283222151</v>
      </c>
      <c r="D37">
        <v>-89.083829047402688</v>
      </c>
    </row>
    <row r="38" spans="1:4" x14ac:dyDescent="0.45">
      <c r="A38" s="2">
        <v>44562</v>
      </c>
      <c r="B38" s="3">
        <v>6.5091125667095184E-2</v>
      </c>
      <c r="C38">
        <v>-105.1259304367791</v>
      </c>
      <c r="D38">
        <v>-36.269933439345749</v>
      </c>
    </row>
    <row r="39" spans="1:4" x14ac:dyDescent="0.45">
      <c r="A39" s="2">
        <v>44593</v>
      </c>
      <c r="B39" s="3">
        <v>5.7252902537584305E-2</v>
      </c>
      <c r="C39">
        <v>-90.112235834247159</v>
      </c>
      <c r="D39">
        <v>-31.188603554661299</v>
      </c>
    </row>
    <row r="40" spans="1:4" x14ac:dyDescent="0.45">
      <c r="A40" s="2">
        <v>44621</v>
      </c>
      <c r="B40" s="3">
        <v>0.10460250824689865</v>
      </c>
      <c r="C40">
        <v>-94.915018963643604</v>
      </c>
      <c r="D40">
        <v>-35.203382916855979</v>
      </c>
    </row>
    <row r="41" spans="1:4" x14ac:dyDescent="0.45">
      <c r="A41" s="2">
        <v>44652</v>
      </c>
      <c r="B41" s="3">
        <v>8.4771417081356049E-2</v>
      </c>
      <c r="C41">
        <v>-121.06687582444221</v>
      </c>
      <c r="D41">
        <v>-41.366358294209697</v>
      </c>
    </row>
    <row r="42" spans="1:4" x14ac:dyDescent="0.45">
      <c r="A42" s="2">
        <v>44682</v>
      </c>
      <c r="B42" s="3">
        <v>3.90625E-2</v>
      </c>
      <c r="C42">
        <v>-65.348112967156311</v>
      </c>
      <c r="D42">
        <v>-23.370640109546169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D3DB-3323-41A0-BB72-8F96D8225072}">
  <dimension ref="A1:F42"/>
  <sheetViews>
    <sheetView tabSelected="1" topLeftCell="A11" workbookViewId="0">
      <selection activeCell="D1" activeCellId="1" sqref="A1:B42 D1:D42"/>
    </sheetView>
  </sheetViews>
  <sheetFormatPr defaultRowHeight="14.25" x14ac:dyDescent="0.45"/>
  <sheetData>
    <row r="1" spans="1:6" x14ac:dyDescent="0.45">
      <c r="A1" t="s">
        <v>1</v>
      </c>
      <c r="B1" t="s">
        <v>6</v>
      </c>
      <c r="C1" t="s">
        <v>4</v>
      </c>
      <c r="D1" t="s">
        <v>5</v>
      </c>
    </row>
    <row r="2" spans="1:6" x14ac:dyDescent="0.45">
      <c r="A2" s="2">
        <v>43466</v>
      </c>
      <c r="B2" s="3">
        <f>-Sheet2!B2</f>
        <v>-4.2498938739299802E-2</v>
      </c>
      <c r="C2">
        <f>STANDARDIZE(Sheet2!C2,AVERAGE(Sheet2!C$2:C$42),STDEV(Sheet2!C$2:C$42))</f>
        <v>0.22971402055917359</v>
      </c>
      <c r="D2">
        <f>STANDARDIZE(Sheet2!D2,AVERAGE(Sheet2!D$2:D$42),STDEV(Sheet2!D$2:D$42))</f>
        <v>0.16430261115558698</v>
      </c>
      <c r="F2">
        <f>CORREL(B2:B42,D2:D42)</f>
        <v>0.11995571374729902</v>
      </c>
    </row>
    <row r="3" spans="1:6" x14ac:dyDescent="0.45">
      <c r="A3" s="2">
        <v>43497</v>
      </c>
      <c r="B3" s="3">
        <f>-Sheet2!B3</f>
        <v>-1.4162968844175339E-2</v>
      </c>
      <c r="C3">
        <f>STANDARDIZE(Sheet2!C3,AVERAGE(Sheet2!C$2:C$42),STDEV(Sheet2!C$2:C$42))</f>
        <v>0.67990509548417299</v>
      </c>
      <c r="D3">
        <f>STANDARDIZE(Sheet2!D3,AVERAGE(Sheet2!D$2:D$42),STDEV(Sheet2!D$2:D$42))</f>
        <v>0.62003578700250106</v>
      </c>
    </row>
    <row r="4" spans="1:6" x14ac:dyDescent="0.45">
      <c r="A4" s="2">
        <v>43525</v>
      </c>
      <c r="B4" s="3">
        <f>-Sheet2!B4</f>
        <v>-2.0855927839875221E-2</v>
      </c>
      <c r="C4">
        <f>STANDARDIZE(Sheet2!C4,AVERAGE(Sheet2!C$2:C$42),STDEV(Sheet2!C$2:C$42))</f>
        <v>0.42572914682090679</v>
      </c>
      <c r="D4">
        <f>STANDARDIZE(Sheet2!D4,AVERAGE(Sheet2!D$2:D$42),STDEV(Sheet2!D$2:D$42))</f>
        <v>0.51676601454124271</v>
      </c>
    </row>
    <row r="5" spans="1:6" x14ac:dyDescent="0.45">
      <c r="A5" s="2">
        <v>43556</v>
      </c>
      <c r="B5" s="3">
        <f>-Sheet2!B5</f>
        <v>-3.1336735934019089E-2</v>
      </c>
      <c r="C5">
        <f>STANDARDIZE(Sheet2!C5,AVERAGE(Sheet2!C$2:C$42),STDEV(Sheet2!C$2:C$42))</f>
        <v>0.22791748223553321</v>
      </c>
      <c r="D5">
        <f>STANDARDIZE(Sheet2!D5,AVERAGE(Sheet2!D$2:D$42),STDEV(Sheet2!D$2:D$42))</f>
        <v>0.29355184494076403</v>
      </c>
    </row>
    <row r="6" spans="1:6" x14ac:dyDescent="0.45">
      <c r="A6" s="2">
        <v>43586</v>
      </c>
      <c r="B6" s="3">
        <f>-Sheet2!B6</f>
        <v>-2.1490586921572685E-2</v>
      </c>
      <c r="C6">
        <f>STANDARDIZE(Sheet2!C6,AVERAGE(Sheet2!C$2:C$42),STDEV(Sheet2!C$2:C$42))</f>
        <v>0.67685468189851983</v>
      </c>
      <c r="D6">
        <f>STANDARDIZE(Sheet2!D6,AVERAGE(Sheet2!D$2:D$42),STDEV(Sheet2!D$2:D$42))</f>
        <v>0.58383960138251068</v>
      </c>
    </row>
    <row r="7" spans="1:6" x14ac:dyDescent="0.45">
      <c r="A7" s="2">
        <v>43617</v>
      </c>
      <c r="B7" s="3">
        <f>-Sheet2!B7</f>
        <v>-5.1773231476545334E-2</v>
      </c>
      <c r="C7">
        <f>STANDARDIZE(Sheet2!C7,AVERAGE(Sheet2!C$2:C$42),STDEV(Sheet2!C$2:C$42))</f>
        <v>0.85108225594014653</v>
      </c>
      <c r="D7">
        <f>STANDARDIZE(Sheet2!D7,AVERAGE(Sheet2!D$2:D$42),STDEV(Sheet2!D$2:D$42))</f>
        <v>0.82695883422551275</v>
      </c>
    </row>
    <row r="8" spans="1:6" x14ac:dyDescent="0.45">
      <c r="A8" s="2">
        <v>43647</v>
      </c>
      <c r="B8" s="3">
        <f>-Sheet2!B8</f>
        <v>-2.6546323671936989E-2</v>
      </c>
      <c r="C8">
        <f>STANDARDIZE(Sheet2!C8,AVERAGE(Sheet2!C$2:C$42),STDEV(Sheet2!C$2:C$42))</f>
        <v>0.69495619307192336</v>
      </c>
      <c r="D8">
        <f>STANDARDIZE(Sheet2!D8,AVERAGE(Sheet2!D$2:D$42),STDEV(Sheet2!D$2:D$42))</f>
        <v>0.62493522611683905</v>
      </c>
    </row>
    <row r="9" spans="1:6" x14ac:dyDescent="0.45">
      <c r="A9" s="2">
        <v>43678</v>
      </c>
      <c r="B9" s="3">
        <f>-Sheet2!B9</f>
        <v>-4.4243872165679932E-2</v>
      </c>
      <c r="C9">
        <f>STANDARDIZE(Sheet2!C9,AVERAGE(Sheet2!C$2:C$42),STDEV(Sheet2!C$2:C$42))</f>
        <v>0.83688752353611895</v>
      </c>
      <c r="D9">
        <f>STANDARDIZE(Sheet2!D9,AVERAGE(Sheet2!D$2:D$42),STDEV(Sheet2!D$2:D$42))</f>
        <v>0.73797158352098646</v>
      </c>
    </row>
    <row r="10" spans="1:6" x14ac:dyDescent="0.45">
      <c r="A10" s="2">
        <v>43709</v>
      </c>
      <c r="B10" s="3">
        <f>-Sheet2!B10</f>
        <v>-2.6573365554213524E-2</v>
      </c>
      <c r="C10">
        <f>STANDARDIZE(Sheet2!C10,AVERAGE(Sheet2!C$2:C$42),STDEV(Sheet2!C$2:C$42))</f>
        <v>-1.7188792620806119</v>
      </c>
      <c r="D10">
        <f>STANDARDIZE(Sheet2!D10,AVERAGE(Sheet2!D$2:D$42),STDEV(Sheet2!D$2:D$42))</f>
        <v>-1.5085532875054184</v>
      </c>
    </row>
    <row r="11" spans="1:6" x14ac:dyDescent="0.45">
      <c r="A11" s="2">
        <v>43739</v>
      </c>
      <c r="B11" s="3">
        <f>-Sheet2!B11</f>
        <v>-2.9429076239466667E-2</v>
      </c>
      <c r="C11">
        <f>STANDARDIZE(Sheet2!C11,AVERAGE(Sheet2!C$2:C$42),STDEV(Sheet2!C$2:C$42))</f>
        <v>0.64339552033387526</v>
      </c>
      <c r="D11">
        <f>STANDARDIZE(Sheet2!D11,AVERAGE(Sheet2!D$2:D$42),STDEV(Sheet2!D$2:D$42))</f>
        <v>0.58563376317648141</v>
      </c>
    </row>
    <row r="12" spans="1:6" x14ac:dyDescent="0.45">
      <c r="A12" s="2">
        <v>43770</v>
      </c>
      <c r="B12" s="3">
        <f>-Sheet2!B12</f>
        <v>-2.6408450677990913E-2</v>
      </c>
      <c r="C12">
        <f>STANDARDIZE(Sheet2!C12,AVERAGE(Sheet2!C$2:C$42),STDEV(Sheet2!C$2:C$42))</f>
        <v>0.7509511161377429</v>
      </c>
      <c r="D12">
        <f>STANDARDIZE(Sheet2!D12,AVERAGE(Sheet2!D$2:D$42),STDEV(Sheet2!D$2:D$42))</f>
        <v>0.70065318131284893</v>
      </c>
    </row>
    <row r="13" spans="1:6" x14ac:dyDescent="0.45">
      <c r="A13" s="2">
        <v>43800</v>
      </c>
      <c r="B13" s="3">
        <f>-Sheet2!B13</f>
        <v>-1.456169318407774E-2</v>
      </c>
      <c r="C13">
        <f>STANDARDIZE(Sheet2!C13,AVERAGE(Sheet2!C$2:C$42),STDEV(Sheet2!C$2:C$42))</f>
        <v>0.87308703289207501</v>
      </c>
      <c r="D13">
        <f>STANDARDIZE(Sheet2!D13,AVERAGE(Sheet2!D$2:D$42),STDEV(Sheet2!D$2:D$42))</f>
        <v>0.78879831984506954</v>
      </c>
    </row>
    <row r="14" spans="1:6" x14ac:dyDescent="0.45">
      <c r="A14" s="2">
        <v>43831</v>
      </c>
      <c r="B14" s="3">
        <f>-Sheet2!B14</f>
        <v>-1.3236267492175102E-2</v>
      </c>
      <c r="C14">
        <f>STANDARDIZE(Sheet2!C14,AVERAGE(Sheet2!C$2:C$42),STDEV(Sheet2!C$2:C$42))</f>
        <v>0.77446460361387437</v>
      </c>
      <c r="D14">
        <f>STANDARDIZE(Sheet2!D14,AVERAGE(Sheet2!D$2:D$42),STDEV(Sheet2!D$2:D$42))</f>
        <v>0.68893048107142973</v>
      </c>
    </row>
    <row r="15" spans="1:6" x14ac:dyDescent="0.45">
      <c r="A15" s="2">
        <v>43862</v>
      </c>
      <c r="B15" s="3">
        <f>-Sheet2!B15</f>
        <v>-4.9041461199522018E-2</v>
      </c>
      <c r="C15">
        <f>STANDARDIZE(Sheet2!C15,AVERAGE(Sheet2!C$2:C$42),STDEV(Sheet2!C$2:C$42))</f>
        <v>6.797491157789215E-2</v>
      </c>
      <c r="D15">
        <f>STANDARDIZE(Sheet2!D15,AVERAGE(Sheet2!D$2:D$42),STDEV(Sheet2!D$2:D$42))</f>
        <v>6.2990707426815017E-3</v>
      </c>
    </row>
    <row r="16" spans="1:6" x14ac:dyDescent="0.45">
      <c r="A16" s="2">
        <v>43891</v>
      </c>
      <c r="B16" s="3">
        <f>-Sheet2!B16</f>
        <v>-3.4205574542284012E-2</v>
      </c>
      <c r="C16">
        <f>STANDARDIZE(Sheet2!C16,AVERAGE(Sheet2!C$2:C$42),STDEV(Sheet2!C$2:C$42))</f>
        <v>-1.8040476829103489</v>
      </c>
      <c r="D16">
        <f>STANDARDIZE(Sheet2!D16,AVERAGE(Sheet2!D$2:D$42),STDEV(Sheet2!D$2:D$42))</f>
        <v>-1.9834520503602007</v>
      </c>
    </row>
    <row r="17" spans="1:4" x14ac:dyDescent="0.45">
      <c r="A17" s="2">
        <v>43922</v>
      </c>
      <c r="B17" s="3">
        <f>-Sheet2!B17</f>
        <v>-3.7138480693101883E-2</v>
      </c>
      <c r="C17">
        <f>STANDARDIZE(Sheet2!C17,AVERAGE(Sheet2!C$2:C$42),STDEV(Sheet2!C$2:C$42))</f>
        <v>-1.4799274100289672</v>
      </c>
      <c r="D17">
        <f>STANDARDIZE(Sheet2!D17,AVERAGE(Sheet2!D$2:D$42),STDEV(Sheet2!D$2:D$42))</f>
        <v>-1.5160003903343546</v>
      </c>
    </row>
    <row r="18" spans="1:4" x14ac:dyDescent="0.45">
      <c r="A18" s="2">
        <v>43952</v>
      </c>
      <c r="B18" s="3">
        <f>-Sheet2!B18</f>
        <v>-1.3518384657800198E-2</v>
      </c>
      <c r="C18">
        <f>STANDARDIZE(Sheet2!C18,AVERAGE(Sheet2!C$2:C$42),STDEV(Sheet2!C$2:C$42))</f>
        <v>-0.58938704611843185</v>
      </c>
      <c r="D18">
        <f>STANDARDIZE(Sheet2!D18,AVERAGE(Sheet2!D$2:D$42),STDEV(Sheet2!D$2:D$42))</f>
        <v>-0.59595482678967149</v>
      </c>
    </row>
    <row r="19" spans="1:4" x14ac:dyDescent="0.45">
      <c r="A19" s="2">
        <v>43983</v>
      </c>
      <c r="B19" s="3">
        <f>-Sheet2!B19</f>
        <v>-8.3056479692459106E-2</v>
      </c>
      <c r="C19">
        <f>STANDARDIZE(Sheet2!C19,AVERAGE(Sheet2!C$2:C$42),STDEV(Sheet2!C$2:C$42))</f>
        <v>-2.1305414620225083</v>
      </c>
      <c r="D19">
        <f>STANDARDIZE(Sheet2!D19,AVERAGE(Sheet2!D$2:D$42),STDEV(Sheet2!D$2:D$42))</f>
        <v>-2.1567602563954842</v>
      </c>
    </row>
    <row r="20" spans="1:4" x14ac:dyDescent="0.45">
      <c r="A20" s="2">
        <v>44013</v>
      </c>
      <c r="B20" s="3">
        <f>-Sheet2!B20</f>
        <v>-1.800261065363884E-2</v>
      </c>
      <c r="C20">
        <f>STANDARDIZE(Sheet2!C20,AVERAGE(Sheet2!C$2:C$42),STDEV(Sheet2!C$2:C$42))</f>
        <v>-1.9474210145015687</v>
      </c>
      <c r="D20">
        <f>STANDARDIZE(Sheet2!D20,AVERAGE(Sheet2!D$2:D$42),STDEV(Sheet2!D$2:D$42))</f>
        <v>-1.6849555542537527</v>
      </c>
    </row>
    <row r="21" spans="1:4" x14ac:dyDescent="0.45">
      <c r="A21" s="2">
        <v>44044</v>
      </c>
      <c r="B21" s="3">
        <f>-Sheet2!B21</f>
        <v>-2.6715347543358803E-2</v>
      </c>
      <c r="C21">
        <f>STANDARDIZE(Sheet2!C21,AVERAGE(Sheet2!C$2:C$42),STDEV(Sheet2!C$2:C$42))</f>
        <v>-0.50381094610487298</v>
      </c>
      <c r="D21">
        <f>STANDARDIZE(Sheet2!D21,AVERAGE(Sheet2!D$2:D$42),STDEV(Sheet2!D$2:D$42))</f>
        <v>-0.4262848610183787</v>
      </c>
    </row>
    <row r="22" spans="1:4" x14ac:dyDescent="0.45">
      <c r="A22" s="2">
        <v>44075</v>
      </c>
      <c r="B22" s="3">
        <f>-Sheet2!B22</f>
        <v>-3.1367629766464233E-2</v>
      </c>
      <c r="C22">
        <f>STANDARDIZE(Sheet2!C22,AVERAGE(Sheet2!C$2:C$42),STDEV(Sheet2!C$2:C$42))</f>
        <v>0.25597242229459599</v>
      </c>
      <c r="D22">
        <f>STANDARDIZE(Sheet2!D22,AVERAGE(Sheet2!D$2:D$42),STDEV(Sheet2!D$2:D$42))</f>
        <v>0.33522434992282601</v>
      </c>
    </row>
    <row r="23" spans="1:4" x14ac:dyDescent="0.45">
      <c r="A23" s="2">
        <v>44105</v>
      </c>
      <c r="B23" s="3">
        <f>-Sheet2!B23</f>
        <v>-4.2181634344160557E-3</v>
      </c>
      <c r="C23">
        <f>STANDARDIZE(Sheet2!C23,AVERAGE(Sheet2!C$2:C$42),STDEV(Sheet2!C$2:C$42))</f>
        <v>1.0093827779367681</v>
      </c>
      <c r="D23">
        <f>STANDARDIZE(Sheet2!D23,AVERAGE(Sheet2!D$2:D$42),STDEV(Sheet2!D$2:D$42))</f>
        <v>1.0224462477418372</v>
      </c>
    </row>
    <row r="24" spans="1:4" x14ac:dyDescent="0.45">
      <c r="A24" s="2">
        <v>44136</v>
      </c>
      <c r="B24" s="3">
        <f>-Sheet2!B24</f>
        <v>-7.8006699681282043E-2</v>
      </c>
      <c r="C24">
        <f>STANDARDIZE(Sheet2!C24,AVERAGE(Sheet2!C$2:C$42),STDEV(Sheet2!C$2:C$42))</f>
        <v>0.70176928048508935</v>
      </c>
      <c r="D24">
        <f>STANDARDIZE(Sheet2!D24,AVERAGE(Sheet2!D$2:D$42),STDEV(Sheet2!D$2:D$42))</f>
        <v>0.68383724056180684</v>
      </c>
    </row>
    <row r="25" spans="1:4" x14ac:dyDescent="0.45">
      <c r="A25" s="2">
        <v>44166</v>
      </c>
      <c r="B25" s="3">
        <f>-Sheet2!B25</f>
        <v>-4.249291867017746E-2</v>
      </c>
      <c r="C25">
        <f>STANDARDIZE(Sheet2!C25,AVERAGE(Sheet2!C$2:C$42),STDEV(Sheet2!C$2:C$42))</f>
        <v>5.3877949710720102E-2</v>
      </c>
      <c r="D25">
        <f>STANDARDIZE(Sheet2!D25,AVERAGE(Sheet2!D$2:D$42),STDEV(Sheet2!D$2:D$42))</f>
        <v>8.0142977541078173E-2</v>
      </c>
    </row>
    <row r="26" spans="1:4" x14ac:dyDescent="0.45">
      <c r="A26" s="2">
        <v>44197</v>
      </c>
      <c r="B26" s="3">
        <f>-Sheet2!B26</f>
        <v>-5.0242073833942413E-2</v>
      </c>
      <c r="C26">
        <f>STANDARDIZE(Sheet2!C26,AVERAGE(Sheet2!C$2:C$42),STDEV(Sheet2!C$2:C$42))</f>
        <v>-0.54328502699434755</v>
      </c>
      <c r="D26">
        <f>STANDARDIZE(Sheet2!D26,AVERAGE(Sheet2!D$2:D$42),STDEV(Sheet2!D$2:D$42))</f>
        <v>-0.42014776281594374</v>
      </c>
    </row>
    <row r="27" spans="1:4" x14ac:dyDescent="0.45">
      <c r="A27" s="2">
        <v>44228</v>
      </c>
      <c r="B27" s="3">
        <f>-Sheet2!B27</f>
        <v>-3.0021015554666519E-2</v>
      </c>
      <c r="C27">
        <f>STANDARDIZE(Sheet2!C27,AVERAGE(Sheet2!C$2:C$42),STDEV(Sheet2!C$2:C$42))</f>
        <v>-0.66162398651346843</v>
      </c>
      <c r="D27">
        <f>STANDARDIZE(Sheet2!D27,AVERAGE(Sheet2!D$2:D$42),STDEV(Sheet2!D$2:D$42))</f>
        <v>-0.53433730318138939</v>
      </c>
    </row>
    <row r="28" spans="1:4" x14ac:dyDescent="0.45">
      <c r="A28" s="2">
        <v>44256</v>
      </c>
      <c r="B28" s="3">
        <f>-Sheet2!B28</f>
        <v>-9.95655357837677E-2</v>
      </c>
      <c r="C28">
        <f>STANDARDIZE(Sheet2!C28,AVERAGE(Sheet2!C$2:C$42),STDEV(Sheet2!C$2:C$42))</f>
        <v>5.1163739706462319E-2</v>
      </c>
      <c r="D28">
        <f>STANDARDIZE(Sheet2!D28,AVERAGE(Sheet2!D$2:D$42),STDEV(Sheet2!D$2:D$42))</f>
        <v>0.17748224709815133</v>
      </c>
    </row>
    <row r="29" spans="1:4" x14ac:dyDescent="0.45">
      <c r="A29" s="2">
        <v>44287</v>
      </c>
      <c r="B29" s="3">
        <f>-Sheet2!B29</f>
        <v>-7.7134452760219574E-2</v>
      </c>
      <c r="C29">
        <f>STANDARDIZE(Sheet2!C29,AVERAGE(Sheet2!C$2:C$42),STDEV(Sheet2!C$2:C$42))</f>
        <v>0.27079507849522055</v>
      </c>
      <c r="D29">
        <f>STANDARDIZE(Sheet2!D29,AVERAGE(Sheet2!D$2:D$42),STDEV(Sheet2!D$2:D$42))</f>
        <v>0.3421244659986683</v>
      </c>
    </row>
    <row r="30" spans="1:4" x14ac:dyDescent="0.45">
      <c r="A30" s="2">
        <v>44317</v>
      </c>
      <c r="B30" s="3">
        <f>-Sheet2!B30</f>
        <v>-4.2275354266166687E-2</v>
      </c>
      <c r="C30">
        <f>STANDARDIZE(Sheet2!C30,AVERAGE(Sheet2!C$2:C$42),STDEV(Sheet2!C$2:C$42))</f>
        <v>0.56592770040193963</v>
      </c>
      <c r="D30">
        <f>STANDARDIZE(Sheet2!D30,AVERAGE(Sheet2!D$2:D$42),STDEV(Sheet2!D$2:D$42))</f>
        <v>0.59109720362394735</v>
      </c>
    </row>
    <row r="31" spans="1:4" x14ac:dyDescent="0.45">
      <c r="A31" s="2">
        <v>44348</v>
      </c>
      <c r="B31" s="3">
        <f>-Sheet2!B31</f>
        <v>-4.8190448433160782E-2</v>
      </c>
      <c r="C31">
        <f>STANDARDIZE(Sheet2!C31,AVERAGE(Sheet2!C$2:C$42),STDEV(Sheet2!C$2:C$42))</f>
        <v>0.34838731806234902</v>
      </c>
      <c r="D31">
        <f>STANDARDIZE(Sheet2!D31,AVERAGE(Sheet2!D$2:D$42),STDEV(Sheet2!D$2:D$42))</f>
        <v>0.33156949925536433</v>
      </c>
    </row>
    <row r="32" spans="1:4" x14ac:dyDescent="0.45">
      <c r="A32" s="2">
        <v>44378</v>
      </c>
      <c r="B32" s="3">
        <f>-Sheet2!B32</f>
        <v>-3.7141930311918259E-2</v>
      </c>
      <c r="C32">
        <f>STANDARDIZE(Sheet2!C32,AVERAGE(Sheet2!C$2:C$42),STDEV(Sheet2!C$2:C$42))</f>
        <v>-2.6424542716315607</v>
      </c>
      <c r="D32">
        <f>STANDARDIZE(Sheet2!D32,AVERAGE(Sheet2!D$2:D$42),STDEV(Sheet2!D$2:D$42))</f>
        <v>-2.6367311871633197</v>
      </c>
    </row>
    <row r="33" spans="1:4" x14ac:dyDescent="0.45">
      <c r="A33" s="2">
        <v>44409</v>
      </c>
      <c r="B33" s="3">
        <f>-Sheet2!B33</f>
        <v>-3.0003000050783157E-2</v>
      </c>
      <c r="C33">
        <f>STANDARDIZE(Sheet2!C33,AVERAGE(Sheet2!C$2:C$42),STDEV(Sheet2!C$2:C$42))</f>
        <v>0.81276349430077899</v>
      </c>
      <c r="D33">
        <f>STANDARDIZE(Sheet2!D33,AVERAGE(Sheet2!D$2:D$42),STDEV(Sheet2!D$2:D$42))</f>
        <v>0.86573386756019099</v>
      </c>
    </row>
    <row r="34" spans="1:4" x14ac:dyDescent="0.45">
      <c r="A34" s="2">
        <v>44440</v>
      </c>
      <c r="B34" s="3">
        <f>-Sheet2!B34</f>
        <v>-1.927153579890728E-2</v>
      </c>
      <c r="C34">
        <f>STANDARDIZE(Sheet2!C34,AVERAGE(Sheet2!C$2:C$42),STDEV(Sheet2!C$2:C$42))</f>
        <v>0.55759798154174545</v>
      </c>
      <c r="D34">
        <f>STANDARDIZE(Sheet2!D34,AVERAGE(Sheet2!D$2:D$42),STDEV(Sheet2!D$2:D$42))</f>
        <v>0.63715295840973107</v>
      </c>
    </row>
    <row r="35" spans="1:4" x14ac:dyDescent="0.45">
      <c r="A35" s="2">
        <v>44470</v>
      </c>
      <c r="B35" s="3">
        <f>-Sheet2!B35</f>
        <v>-4.1470833122730255E-2</v>
      </c>
      <c r="C35">
        <f>STANDARDIZE(Sheet2!C35,AVERAGE(Sheet2!C$2:C$42),STDEV(Sheet2!C$2:C$42))</f>
        <v>0.8769216167651287</v>
      </c>
      <c r="D35">
        <f>STANDARDIZE(Sheet2!D35,AVERAGE(Sheet2!D$2:D$42),STDEV(Sheet2!D$2:D$42))</f>
        <v>0.90539952723677286</v>
      </c>
    </row>
    <row r="36" spans="1:4" x14ac:dyDescent="0.45">
      <c r="A36" s="2">
        <v>44501</v>
      </c>
      <c r="B36" s="3">
        <f>-Sheet2!B36</f>
        <v>-9.2637740075588226E-2</v>
      </c>
      <c r="C36">
        <f>STANDARDIZE(Sheet2!C36,AVERAGE(Sheet2!C$2:C$42),STDEV(Sheet2!C$2:C$42))</f>
        <v>-1.6226724873993106</v>
      </c>
      <c r="D36">
        <f>STANDARDIZE(Sheet2!D36,AVERAGE(Sheet2!D$2:D$42),STDEV(Sheet2!D$2:D$42))</f>
        <v>-2.0206788634507959</v>
      </c>
    </row>
    <row r="37" spans="1:4" x14ac:dyDescent="0.45">
      <c r="A37" s="2">
        <v>44531</v>
      </c>
      <c r="B37" s="3">
        <f>-Sheet2!B37</f>
        <v>-5.5817730724811554E-2</v>
      </c>
      <c r="C37">
        <f>STANDARDIZE(Sheet2!C37,AVERAGE(Sheet2!C$2:C$42),STDEV(Sheet2!C$2:C$42))</f>
        <v>-0.84700397855629039</v>
      </c>
      <c r="D37">
        <f>STANDARDIZE(Sheet2!D37,AVERAGE(Sheet2!D$2:D$42),STDEV(Sheet2!D$2:D$42))</f>
        <v>-0.9009440161869261</v>
      </c>
    </row>
    <row r="38" spans="1:4" x14ac:dyDescent="0.45">
      <c r="A38" s="2">
        <v>44562</v>
      </c>
      <c r="B38" s="3">
        <f>-Sheet2!B38</f>
        <v>-6.5091125667095184E-2</v>
      </c>
      <c r="C38">
        <f>STANDARDIZE(Sheet2!C38,AVERAGE(Sheet2!C$2:C$42),STDEV(Sheet2!C$2:C$42))</f>
        <v>0.5469921475794981</v>
      </c>
      <c r="D38">
        <f>STANDARDIZE(Sheet2!D38,AVERAGE(Sheet2!D$2:D$42),STDEV(Sheet2!D$2:D$42))</f>
        <v>0.57671803780356046</v>
      </c>
    </row>
    <row r="39" spans="1:4" x14ac:dyDescent="0.45">
      <c r="A39" s="2">
        <v>44593</v>
      </c>
      <c r="B39" s="3">
        <f>-Sheet2!B39</f>
        <v>-5.7252902537584305E-2</v>
      </c>
      <c r="C39">
        <f>STANDARDIZE(Sheet2!C39,AVERAGE(Sheet2!C$2:C$42),STDEV(Sheet2!C$2:C$42))</f>
        <v>0.70569763128391072</v>
      </c>
      <c r="D39">
        <f>STANDARDIZE(Sheet2!D39,AVERAGE(Sheet2!D$2:D$42),STDEV(Sheet2!D$2:D$42))</f>
        <v>0.7188868414481191</v>
      </c>
    </row>
    <row r="40" spans="1:4" x14ac:dyDescent="0.45">
      <c r="A40" s="2">
        <v>44621</v>
      </c>
      <c r="B40" s="3">
        <f>-Sheet2!B40</f>
        <v>-0.10460250824689865</v>
      </c>
      <c r="C40">
        <f>STANDARDIZE(Sheet2!C40,AVERAGE(Sheet2!C$2:C$42),STDEV(Sheet2!C$2:C$42))</f>
        <v>0.65492878058744641</v>
      </c>
      <c r="D40">
        <f>STANDARDIZE(Sheet2!D40,AVERAGE(Sheet2!D$2:D$42),STDEV(Sheet2!D$2:D$42))</f>
        <v>0.60655869276002672</v>
      </c>
    </row>
    <row r="41" spans="1:4" x14ac:dyDescent="0.45">
      <c r="A41" s="2">
        <v>44652</v>
      </c>
      <c r="B41" s="3">
        <f>-Sheet2!B41</f>
        <v>-8.4771417081356049E-2</v>
      </c>
      <c r="C41">
        <f>STANDARDIZE(Sheet2!C41,AVERAGE(Sheet2!C$2:C$42),STDEV(Sheet2!C$2:C$42))</f>
        <v>0.37848496027944162</v>
      </c>
      <c r="D41">
        <f>STANDARDIZE(Sheet2!D41,AVERAGE(Sheet2!D$2:D$42),STDEV(Sheet2!D$2:D$42))</f>
        <v>0.43412689711335201</v>
      </c>
    </row>
    <row r="42" spans="1:4" x14ac:dyDescent="0.45">
      <c r="A42" s="2">
        <v>44682</v>
      </c>
      <c r="B42" s="3">
        <f>-Sheet2!B42</f>
        <v>-3.90625E-2</v>
      </c>
      <c r="C42">
        <f>STANDARDIZE(Sheet2!C42,AVERAGE(Sheet2!C$2:C$42),STDEV(Sheet2!C$2:C$42))</f>
        <v>0.96747211132923938</v>
      </c>
      <c r="D42">
        <f>STANDARDIZE(Sheet2!D42,AVERAGE(Sheet2!D$2:D$42),STDEV(Sheet2!D$2:D$42))</f>
        <v>0.93762298634573227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2022-07-01T07:34:53Z</dcterms:created>
  <dcterms:modified xsi:type="dcterms:W3CDTF">2022-07-01T08:51:21Z</dcterms:modified>
</cp:coreProperties>
</file>