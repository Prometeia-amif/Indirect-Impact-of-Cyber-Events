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/>
  <mc:AlternateContent xmlns:mc="http://schemas.openxmlformats.org/markup-compatibility/2006">
    <mc:Choice Requires="x15">
      <x15ac:absPath xmlns:x15ac="http://schemas.microsoft.com/office/spreadsheetml/2010/11/ac" url="\\COR-FS-BO-01\Amif\CLIMATE RISK &amp; ESG\PROGETTI\NLP\GDELT\INDICI CORRETTI PAESI\"/>
    </mc:Choice>
  </mc:AlternateContent>
  <xr:revisionPtr revIDLastSave="0" documentId="13_ncr:1_{90862E4E-0EE5-4D24-B32E-6241EFBF1BA4}" xr6:coauthVersionLast="36" xr6:coauthVersionMax="36" xr10:uidLastSave="{00000000-0000-0000-0000-000000000000}"/>
  <bookViews>
    <workbookView xWindow="0" yWindow="0" windowWidth="20520" windowHeight="8865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F2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2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2" i="3"/>
</calcChain>
</file>

<file path=xl/sharedStrings.xml><?xml version="1.0" encoding="utf-8"?>
<sst xmlns="http://schemas.openxmlformats.org/spreadsheetml/2006/main" count="10" uniqueCount="7">
  <si>
    <t>CWT_ID</t>
  </si>
  <si>
    <t>month</t>
  </si>
  <si>
    <t>GPRC_TWN</t>
  </si>
  <si>
    <t>CWT_ID_corr</t>
  </si>
  <si>
    <t xml:space="preserve"> -GPRC_TWN</t>
  </si>
  <si>
    <t>CWT_stand</t>
  </si>
  <si>
    <t>CWT_corr_stand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</si>
</sst>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TAIWAN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CWT_ID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Sheet2!$C$2:$C$42</c:f>
              <c:numCache>
                <c:formatCode>General</c:formatCode>
                <c:ptCount val="41"/>
                <c:pt idx="0">
                  <c:v>-56.673358659338682</c:v>
                </c:pt>
                <c:pt idx="1">
                  <c:v>-37.931447012143579</c:v>
                </c:pt>
                <c:pt idx="2">
                  <c:v>-18.84889604499206</c:v>
                </c:pt>
                <c:pt idx="3">
                  <c:v>-43.879633411092193</c:v>
                </c:pt>
                <c:pt idx="4">
                  <c:v>-10.676944075565251</c:v>
                </c:pt>
                <c:pt idx="5">
                  <c:v>-155.34540738452341</c:v>
                </c:pt>
                <c:pt idx="6">
                  <c:v>-76.986016783393069</c:v>
                </c:pt>
                <c:pt idx="7">
                  <c:v>-93.354391415711632</c:v>
                </c:pt>
                <c:pt idx="8">
                  <c:v>-39.85961601323325</c:v>
                </c:pt>
                <c:pt idx="9">
                  <c:v>-139.90680942930589</c:v>
                </c:pt>
                <c:pt idx="10">
                  <c:v>-26.903127251063651</c:v>
                </c:pt>
                <c:pt idx="11">
                  <c:v>-61.989998736896027</c:v>
                </c:pt>
                <c:pt idx="12">
                  <c:v>-114.8682505923139</c:v>
                </c:pt>
                <c:pt idx="13">
                  <c:v>-203.79241911881141</c:v>
                </c:pt>
                <c:pt idx="14">
                  <c:v>-164.6777778151048</c:v>
                </c:pt>
                <c:pt idx="15">
                  <c:v>-189.93994660887299</c:v>
                </c:pt>
                <c:pt idx="16">
                  <c:v>-134.64608120453261</c:v>
                </c:pt>
                <c:pt idx="17">
                  <c:v>-93.096677483252321</c:v>
                </c:pt>
                <c:pt idx="18">
                  <c:v>-121.5965469703074</c:v>
                </c:pt>
                <c:pt idx="19">
                  <c:v>-115.8867336845052</c:v>
                </c:pt>
                <c:pt idx="20">
                  <c:v>-111.72123719040989</c:v>
                </c:pt>
                <c:pt idx="21">
                  <c:v>-66.343969487042756</c:v>
                </c:pt>
                <c:pt idx="22">
                  <c:v>-35.173859362677057</c:v>
                </c:pt>
                <c:pt idx="23">
                  <c:v>-83.615350427128803</c:v>
                </c:pt>
                <c:pt idx="24">
                  <c:v>-110.2276029644551</c:v>
                </c:pt>
                <c:pt idx="25">
                  <c:v>-80.828941275551955</c:v>
                </c:pt>
                <c:pt idx="26">
                  <c:v>-96.269907898201325</c:v>
                </c:pt>
                <c:pt idx="27">
                  <c:v>-252.6268885988265</c:v>
                </c:pt>
                <c:pt idx="28">
                  <c:v>-169.35477692682679</c:v>
                </c:pt>
                <c:pt idx="29">
                  <c:v>-139.0673548831418</c:v>
                </c:pt>
                <c:pt idx="30">
                  <c:v>-128.00911030273721</c:v>
                </c:pt>
                <c:pt idx="31">
                  <c:v>-75.316559287618688</c:v>
                </c:pt>
                <c:pt idx="32">
                  <c:v>-75.410972455927407</c:v>
                </c:pt>
                <c:pt idx="33">
                  <c:v>-150.21262449179719</c:v>
                </c:pt>
                <c:pt idx="34">
                  <c:v>-145.46290675638571</c:v>
                </c:pt>
                <c:pt idx="35">
                  <c:v>-94.358922456713728</c:v>
                </c:pt>
                <c:pt idx="36">
                  <c:v>-72.969212885048279</c:v>
                </c:pt>
                <c:pt idx="37">
                  <c:v>-88.684282844932</c:v>
                </c:pt>
                <c:pt idx="38">
                  <c:v>-156.58706869966031</c:v>
                </c:pt>
                <c:pt idx="39">
                  <c:v>-104.0048891749846</c:v>
                </c:pt>
                <c:pt idx="40">
                  <c:v>-199.09578104317561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92-437F-AB10-B9B8334A8637}"/>
            </c:ext>
          </c:extLst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CWT_ID_corr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Sheet2!$A$2:$A$42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Sheet2!$D$2:$D$42</c:f>
              <c:numCache>
                <c:formatCode>General</c:formatCode>
                <c:ptCount val="41"/>
                <c:pt idx="0">
                  <c:v>-23.20756292573143</c:v>
                </c:pt>
                <c:pt idx="1">
                  <c:v>-13.503964036544851</c:v>
                </c:pt>
                <c:pt idx="2">
                  <c:v>-3.7505624906226549</c:v>
                </c:pt>
                <c:pt idx="3">
                  <c:v>-13.046777503875971</c:v>
                </c:pt>
                <c:pt idx="4">
                  <c:v>-3.918687531882969</c:v>
                </c:pt>
                <c:pt idx="5">
                  <c:v>-66.119087209302322</c:v>
                </c:pt>
                <c:pt idx="6">
                  <c:v>-32.450453533383353</c:v>
                </c:pt>
                <c:pt idx="7">
                  <c:v>-37.622078619654907</c:v>
                </c:pt>
                <c:pt idx="8">
                  <c:v>-13.84020640310078</c:v>
                </c:pt>
                <c:pt idx="9">
                  <c:v>-50.05623842460615</c:v>
                </c:pt>
                <c:pt idx="10">
                  <c:v>-9.2780522635658915</c:v>
                </c:pt>
                <c:pt idx="11">
                  <c:v>-24.232644081020251</c:v>
                </c:pt>
                <c:pt idx="12">
                  <c:v>-43.044911927981993</c:v>
                </c:pt>
                <c:pt idx="13">
                  <c:v>-77.915969767441865</c:v>
                </c:pt>
                <c:pt idx="14">
                  <c:v>-65.866513503375842</c:v>
                </c:pt>
                <c:pt idx="15">
                  <c:v>-74.694895007751938</c:v>
                </c:pt>
                <c:pt idx="16">
                  <c:v>-55.240164861215312</c:v>
                </c:pt>
                <c:pt idx="17">
                  <c:v>-37.625722015503882</c:v>
                </c:pt>
                <c:pt idx="18">
                  <c:v>-50.914160855213808</c:v>
                </c:pt>
                <c:pt idx="19">
                  <c:v>-47.276940105026263</c:v>
                </c:pt>
                <c:pt idx="20">
                  <c:v>-44.943982496124029</c:v>
                </c:pt>
                <c:pt idx="21">
                  <c:v>-26.206214697674419</c:v>
                </c:pt>
                <c:pt idx="22">
                  <c:v>-11.736233937984499</c:v>
                </c:pt>
                <c:pt idx="23">
                  <c:v>-33.885324216054009</c:v>
                </c:pt>
                <c:pt idx="24">
                  <c:v>-41.250639864966239</c:v>
                </c:pt>
                <c:pt idx="25">
                  <c:v>-28.07110292358804</c:v>
                </c:pt>
                <c:pt idx="26">
                  <c:v>-33.529407306826712</c:v>
                </c:pt>
                <c:pt idx="27">
                  <c:v>-81.381064031007753</c:v>
                </c:pt>
                <c:pt idx="28">
                  <c:v>-65.891773608402104</c:v>
                </c:pt>
                <c:pt idx="29">
                  <c:v>-52.252596542635658</c:v>
                </c:pt>
                <c:pt idx="30">
                  <c:v>-44.651388282070513</c:v>
                </c:pt>
                <c:pt idx="31">
                  <c:v>-26.04265968492123</c:v>
                </c:pt>
                <c:pt idx="32">
                  <c:v>-26.301876201550389</c:v>
                </c:pt>
                <c:pt idx="33">
                  <c:v>-56.623842760690167</c:v>
                </c:pt>
                <c:pt idx="34">
                  <c:v>-58.652836480620159</c:v>
                </c:pt>
                <c:pt idx="35">
                  <c:v>-37.602481455363836</c:v>
                </c:pt>
                <c:pt idx="36">
                  <c:v>-27.258146436609149</c:v>
                </c:pt>
                <c:pt idx="37">
                  <c:v>-34.53005712624585</c:v>
                </c:pt>
                <c:pt idx="38">
                  <c:v>-65.600073008252068</c:v>
                </c:pt>
                <c:pt idx="39">
                  <c:v>-43.39255654263566</c:v>
                </c:pt>
                <c:pt idx="40">
                  <c:v>-77.168676542635666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92-437F-AB10-B9B8334A8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183424"/>
        <c:axId val="1921597216"/>
      </c:lineChart>
      <c:dateAx>
        <c:axId val="19201834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597216"/>
        <c:crosses val="autoZero"/>
        <c:auto val="1"/>
        <c:lblOffset val="100"/>
        <c:baseTimeUnit val="months"/>
      </c:dateAx>
      <c:valAx>
        <c:axId val="192159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18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TAIWAN</a:t>
            </a:r>
            <a:r>
              <a:rPr lang="en-US" baseline="0"/>
              <a:t>     CORR=0.38962</a:t>
            </a:r>
            <a:endParaRPr lang="en-US"/>
          </a:p>
        </c:rich>
      </c:tx>
      <c:layout>
        <c:manualLayout>
          <c:xMode val="edge"/>
          <c:yMode val="edge"/>
          <c:x val="0.4056516745434923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 -GPRC_TWN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Sheet3!$A$2:$A$42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Sheet3!$B$2:$B$42</c:f>
              <c:numCache>
                <c:formatCode>#,##0.00</c:formatCode>
                <c:ptCount val="41"/>
                <c:pt idx="0">
                  <c:v>-2.9749255627393723E-2</c:v>
                </c:pt>
                <c:pt idx="1">
                  <c:v>-9.4419792294502258E-3</c:v>
                </c:pt>
                <c:pt idx="2">
                  <c:v>-4.5883040875196457E-2</c:v>
                </c:pt>
                <c:pt idx="3">
                  <c:v>-4.4766765087842941E-2</c:v>
                </c:pt>
                <c:pt idx="4">
                  <c:v>-5.5875524878501892E-2</c:v>
                </c:pt>
                <c:pt idx="5">
                  <c:v>-8.6288720369338989E-2</c:v>
                </c:pt>
                <c:pt idx="6">
                  <c:v>-5.7517033070325851E-2</c:v>
                </c:pt>
                <c:pt idx="7">
                  <c:v>-8.406335860490799E-2</c:v>
                </c:pt>
                <c:pt idx="8">
                  <c:v>-3.9860047399997711E-2</c:v>
                </c:pt>
                <c:pt idx="9">
                  <c:v>-4.2041536420583725E-2</c:v>
                </c:pt>
                <c:pt idx="10">
                  <c:v>-4.8415493220090866E-2</c:v>
                </c:pt>
                <c:pt idx="11">
                  <c:v>-1.9415590912103653E-2</c:v>
                </c:pt>
                <c:pt idx="12">
                  <c:v>-8.3829693496227264E-2</c:v>
                </c:pt>
                <c:pt idx="13">
                  <c:v>-6.2416408210992813E-2</c:v>
                </c:pt>
                <c:pt idx="14">
                  <c:v>-2.9929878190159798E-2</c:v>
                </c:pt>
                <c:pt idx="15">
                  <c:v>-5.5707719177007675E-2</c:v>
                </c:pt>
                <c:pt idx="16">
                  <c:v>-0.10814707726240158</c:v>
                </c:pt>
                <c:pt idx="17">
                  <c:v>-0.12458471953868866</c:v>
                </c:pt>
                <c:pt idx="18">
                  <c:v>-0.17552545666694641</c:v>
                </c:pt>
                <c:pt idx="19">
                  <c:v>-7.5693488121032715E-2</c:v>
                </c:pt>
                <c:pt idx="20">
                  <c:v>-0.1658003181219101</c:v>
                </c:pt>
                <c:pt idx="21">
                  <c:v>-0.10545408725738525</c:v>
                </c:pt>
                <c:pt idx="22">
                  <c:v>-7.3418073356151581E-2</c:v>
                </c:pt>
                <c:pt idx="23">
                  <c:v>-6.1378657817840576E-2</c:v>
                </c:pt>
                <c:pt idx="24">
                  <c:v>-0.25577783584594727</c:v>
                </c:pt>
                <c:pt idx="25">
                  <c:v>-7.004903256893158E-2</c:v>
                </c:pt>
                <c:pt idx="26">
                  <c:v>-0.14029689133167267</c:v>
                </c:pt>
                <c:pt idx="27">
                  <c:v>-0.20247794687747955</c:v>
                </c:pt>
                <c:pt idx="28">
                  <c:v>-0.11743153631687164</c:v>
                </c:pt>
                <c:pt idx="29">
                  <c:v>-0.1542094349861145</c:v>
                </c:pt>
                <c:pt idx="30">
                  <c:v>-0.12071126699447632</c:v>
                </c:pt>
                <c:pt idx="31">
                  <c:v>-0.12001200020313263</c:v>
                </c:pt>
                <c:pt idx="32">
                  <c:v>-0.20235112309455872</c:v>
                </c:pt>
                <c:pt idx="33">
                  <c:v>-0.3179430365562439</c:v>
                </c:pt>
                <c:pt idx="34">
                  <c:v>-0.23890784382820129</c:v>
                </c:pt>
                <c:pt idx="35">
                  <c:v>-0.33998072147369385</c:v>
                </c:pt>
                <c:pt idx="36">
                  <c:v>-0.22030843794345856</c:v>
                </c:pt>
                <c:pt idx="37">
                  <c:v>-0.26024046540260315</c:v>
                </c:pt>
                <c:pt idx="38">
                  <c:v>-0.37856146693229675</c:v>
                </c:pt>
                <c:pt idx="39">
                  <c:v>-0.12715713679790497</c:v>
                </c:pt>
                <c:pt idx="40">
                  <c:v>-0.3190104067325592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E-4B9B-9628-8D11980D1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8093104"/>
        <c:axId val="1665947328"/>
      </c:lineChart>
      <c:lineChart>
        <c:grouping val="standard"/>
        <c:varyColors val="0"/>
        <c:ser>
          <c:idx val="1"/>
          <c:order val="1"/>
          <c:tx>
            <c:strRef>
              <c:f>Sheet3!$D$1</c:f>
              <c:strCache>
                <c:ptCount val="1"/>
                <c:pt idx="0">
                  <c:v>CWT_corr_stand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Sheet3!$A$2:$A$42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Sheet3!$D$2:$D$42</c:f>
              <c:numCache>
                <c:formatCode>General</c:formatCode>
                <c:ptCount val="41"/>
                <c:pt idx="0">
                  <c:v>0.81953529920031143</c:v>
                </c:pt>
                <c:pt idx="1">
                  <c:v>1.2793641293200049</c:v>
                </c:pt>
                <c:pt idx="2">
                  <c:v>1.7415529804633525</c:v>
                </c:pt>
                <c:pt idx="3">
                  <c:v>1.3010290343582664</c:v>
                </c:pt>
                <c:pt idx="4">
                  <c:v>1.7335859630794515</c:v>
                </c:pt>
                <c:pt idx="5">
                  <c:v>-1.2139325136496155</c:v>
                </c:pt>
                <c:pt idx="6">
                  <c:v>0.38153826082549452</c:v>
                </c:pt>
                <c:pt idx="7">
                  <c:v>0.13646812340586634</c:v>
                </c:pt>
                <c:pt idx="8">
                  <c:v>1.2634304601921116</c:v>
                </c:pt>
                <c:pt idx="9">
                  <c:v>-0.45275503203634404</c:v>
                </c:pt>
                <c:pt idx="10">
                  <c:v>1.4796193221560769</c:v>
                </c:pt>
                <c:pt idx="11">
                  <c:v>0.77095931478493396</c:v>
                </c:pt>
                <c:pt idx="12">
                  <c:v>-0.12050613166983765</c:v>
                </c:pt>
                <c:pt idx="13">
                  <c:v>-1.7729567239159409</c:v>
                </c:pt>
                <c:pt idx="14">
                  <c:v>-1.2019636891916514</c:v>
                </c:pt>
                <c:pt idx="15">
                  <c:v>-1.6203181971805836</c:v>
                </c:pt>
                <c:pt idx="16">
                  <c:v>-0.69840809910910728</c:v>
                </c:pt>
                <c:pt idx="17">
                  <c:v>0.13629547215863019</c:v>
                </c:pt>
                <c:pt idx="18">
                  <c:v>-0.49340979034868326</c:v>
                </c:pt>
                <c:pt idx="19">
                  <c:v>-0.32105116531219308</c:v>
                </c:pt>
                <c:pt idx="20">
                  <c:v>-0.2104982477533473</c:v>
                </c:pt>
                <c:pt idx="21">
                  <c:v>0.6774368312014476</c:v>
                </c:pt>
                <c:pt idx="22">
                  <c:v>1.3631323551577603</c:v>
                </c:pt>
                <c:pt idx="23">
                  <c:v>0.31354339470208642</c:v>
                </c:pt>
                <c:pt idx="24">
                  <c:v>-3.5480149755807343E-2</c:v>
                </c:pt>
                <c:pt idx="25">
                  <c:v>0.58906452923197339</c:v>
                </c:pt>
                <c:pt idx="26">
                  <c:v>0.33040939028360039</c:v>
                </c:pt>
                <c:pt idx="27">
                  <c:v>-1.9371587132670824</c:v>
                </c:pt>
                <c:pt idx="28">
                  <c:v>-1.2031607012152905</c:v>
                </c:pt>
                <c:pt idx="29">
                  <c:v>-0.55683484772852598</c:v>
                </c:pt>
                <c:pt idx="30">
                  <c:v>-0.19663295337293443</c:v>
                </c:pt>
                <c:pt idx="31">
                  <c:v>0.68518728657716599</c:v>
                </c:pt>
                <c:pt idx="32">
                  <c:v>0.67290367624346636</c:v>
                </c:pt>
                <c:pt idx="33">
                  <c:v>-0.76397706965744905</c:v>
                </c:pt>
                <c:pt idx="34">
                  <c:v>-0.86012591290727791</c:v>
                </c:pt>
                <c:pt idx="35">
                  <c:v>0.13739678309517689</c:v>
                </c:pt>
                <c:pt idx="36">
                  <c:v>0.62758846603260676</c:v>
                </c:pt>
                <c:pt idx="37">
                  <c:v>0.28299114463293379</c:v>
                </c:pt>
                <c:pt idx="38">
                  <c:v>-1.1893377529211604</c:v>
                </c:pt>
                <c:pt idx="39">
                  <c:v>-0.13698012428630366</c:v>
                </c:pt>
                <c:pt idx="40">
                  <c:v>-1.7375444018235742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E-4B9B-9628-8D11980D1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311040"/>
        <c:axId val="1665934432"/>
      </c:lineChart>
      <c:dateAx>
        <c:axId val="15180931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947328"/>
        <c:auto val="1"/>
        <c:lblOffset val="100"/>
        <c:baseTimeUnit val="months"/>
      </c:dateAx>
      <c:valAx>
        <c:axId val="166594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093104"/>
        <c:crossBetween val="between"/>
      </c:valAx>
      <c:valAx>
        <c:axId val="166593443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311040"/>
        <c:crosses val="max"/>
        <c:crossBetween val="between"/>
      </c:valAx>
      <c:dateAx>
        <c:axId val="167031104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665934432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13</xdr:row>
      <xdr:rowOff>95251</xdr:rowOff>
    </xdr:from>
    <xdr:to>
      <xdr:col>14</xdr:col>
      <xdr:colOff>557213</xdr:colOff>
      <xdr:row>37</xdr:row>
      <xdr:rowOff>100013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752A89-1C06-4D26-B589-06362984A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147638</xdr:colOff>
      <xdr:row>19</xdr:row>
      <xdr:rowOff>164306</xdr:rowOff>
    </xdr:from>
    <xdr:to>
      <xdr:col>13</xdr:col>
      <xdr:colOff>159543</xdr:colOff>
      <xdr:row>35</xdr:row>
      <xdr:rowOff>11906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0017BB-1C1E-40DA-9E76-FC53728887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opLeftCell="A14" workbookViewId="0">
      <selection activeCell="B1" sqref="B1:B42"/>
    </sheetView>
  </sheetViews>
  <sheetFormatPr defaultRowHeight="14.25" x14ac:dyDescent="0.45"/>
  <sheetData>
    <row r="1" spans="1:2" x14ac:dyDescent="0.45">
      <c r="A1" t="s">
        <v>1</v>
      </c>
      <c r="B1" s="1" t="s">
        <v>3</v>
      </c>
    </row>
    <row r="2" spans="1:2" x14ac:dyDescent="0.45">
      <c r="A2" s="2">
        <v>43466</v>
      </c>
      <c r="B2">
        <v>-23.20756292573143</v>
      </c>
    </row>
    <row r="3" spans="1:2" x14ac:dyDescent="0.45">
      <c r="A3" s="2">
        <v>43497</v>
      </c>
      <c r="B3">
        <v>-13.503964036544851</v>
      </c>
    </row>
    <row r="4" spans="1:2" x14ac:dyDescent="0.45">
      <c r="A4" s="2">
        <v>43525</v>
      </c>
      <c r="B4">
        <v>-3.7505624906226549</v>
      </c>
    </row>
    <row r="5" spans="1:2" x14ac:dyDescent="0.45">
      <c r="A5" s="2">
        <v>43556</v>
      </c>
      <c r="B5">
        <v>-13.046777503875971</v>
      </c>
    </row>
    <row r="6" spans="1:2" x14ac:dyDescent="0.45">
      <c r="A6" s="2">
        <v>43586</v>
      </c>
      <c r="B6">
        <v>-3.918687531882969</v>
      </c>
    </row>
    <row r="7" spans="1:2" x14ac:dyDescent="0.45">
      <c r="A7" s="2">
        <v>43617</v>
      </c>
      <c r="B7">
        <v>-66.119087209302322</v>
      </c>
    </row>
    <row r="8" spans="1:2" x14ac:dyDescent="0.45">
      <c r="A8" s="2">
        <v>43647</v>
      </c>
      <c r="B8">
        <v>-32.450453533383353</v>
      </c>
    </row>
    <row r="9" spans="1:2" x14ac:dyDescent="0.45">
      <c r="A9" s="2">
        <v>43678</v>
      </c>
      <c r="B9">
        <v>-37.622078619654907</v>
      </c>
    </row>
    <row r="10" spans="1:2" x14ac:dyDescent="0.45">
      <c r="A10" s="2">
        <v>43709</v>
      </c>
      <c r="B10">
        <v>-13.84020640310078</v>
      </c>
    </row>
    <row r="11" spans="1:2" x14ac:dyDescent="0.45">
      <c r="A11" s="2">
        <v>43739</v>
      </c>
      <c r="B11">
        <v>-50.05623842460615</v>
      </c>
    </row>
    <row r="12" spans="1:2" x14ac:dyDescent="0.45">
      <c r="A12" s="2">
        <v>43770</v>
      </c>
      <c r="B12">
        <v>-9.2780522635658915</v>
      </c>
    </row>
    <row r="13" spans="1:2" x14ac:dyDescent="0.45">
      <c r="A13" s="2">
        <v>43800</v>
      </c>
      <c r="B13">
        <v>-24.232644081020251</v>
      </c>
    </row>
    <row r="14" spans="1:2" x14ac:dyDescent="0.45">
      <c r="A14" s="2">
        <v>43831</v>
      </c>
      <c r="B14">
        <v>-43.044911927981993</v>
      </c>
    </row>
    <row r="15" spans="1:2" x14ac:dyDescent="0.45">
      <c r="A15" s="2">
        <v>43862</v>
      </c>
      <c r="B15">
        <v>-77.915969767441865</v>
      </c>
    </row>
    <row r="16" spans="1:2" x14ac:dyDescent="0.45">
      <c r="A16" s="2">
        <v>43891</v>
      </c>
      <c r="B16">
        <v>-65.866513503375842</v>
      </c>
    </row>
    <row r="17" spans="1:2" x14ac:dyDescent="0.45">
      <c r="A17" s="2">
        <v>43922</v>
      </c>
      <c r="B17">
        <v>-74.694895007751938</v>
      </c>
    </row>
    <row r="18" spans="1:2" x14ac:dyDescent="0.45">
      <c r="A18" s="2">
        <v>43952</v>
      </c>
      <c r="B18">
        <v>-55.240164861215312</v>
      </c>
    </row>
    <row r="19" spans="1:2" x14ac:dyDescent="0.45">
      <c r="A19" s="2">
        <v>43983</v>
      </c>
      <c r="B19">
        <v>-37.625722015503882</v>
      </c>
    </row>
    <row r="20" spans="1:2" x14ac:dyDescent="0.45">
      <c r="A20" s="2">
        <v>44013</v>
      </c>
      <c r="B20">
        <v>-50.914160855213808</v>
      </c>
    </row>
    <row r="21" spans="1:2" x14ac:dyDescent="0.45">
      <c r="A21" s="2">
        <v>44044</v>
      </c>
      <c r="B21">
        <v>-47.276940105026263</v>
      </c>
    </row>
    <row r="22" spans="1:2" x14ac:dyDescent="0.45">
      <c r="A22" s="2">
        <v>44075</v>
      </c>
      <c r="B22">
        <v>-44.943982496124029</v>
      </c>
    </row>
    <row r="23" spans="1:2" x14ac:dyDescent="0.45">
      <c r="A23" s="2">
        <v>44105</v>
      </c>
      <c r="B23">
        <v>-26.206214697674419</v>
      </c>
    </row>
    <row r="24" spans="1:2" x14ac:dyDescent="0.45">
      <c r="A24" s="2">
        <v>44136</v>
      </c>
      <c r="B24">
        <v>-11.736233937984499</v>
      </c>
    </row>
    <row r="25" spans="1:2" x14ac:dyDescent="0.45">
      <c r="A25" s="2">
        <v>44166</v>
      </c>
      <c r="B25">
        <v>-33.885324216054009</v>
      </c>
    </row>
    <row r="26" spans="1:2" x14ac:dyDescent="0.45">
      <c r="A26" s="2">
        <v>44197</v>
      </c>
      <c r="B26">
        <v>-41.250639864966239</v>
      </c>
    </row>
    <row r="27" spans="1:2" x14ac:dyDescent="0.45">
      <c r="A27" s="2">
        <v>44228</v>
      </c>
      <c r="B27">
        <v>-28.07110292358804</v>
      </c>
    </row>
    <row r="28" spans="1:2" x14ac:dyDescent="0.45">
      <c r="A28" s="2">
        <v>44256</v>
      </c>
      <c r="B28">
        <v>-33.529407306826712</v>
      </c>
    </row>
    <row r="29" spans="1:2" x14ac:dyDescent="0.45">
      <c r="A29" s="2">
        <v>44287</v>
      </c>
      <c r="B29">
        <v>-81.381064031007753</v>
      </c>
    </row>
    <row r="30" spans="1:2" x14ac:dyDescent="0.45">
      <c r="A30" s="2">
        <v>44317</v>
      </c>
      <c r="B30">
        <v>-65.891773608402104</v>
      </c>
    </row>
    <row r="31" spans="1:2" x14ac:dyDescent="0.45">
      <c r="A31" s="2">
        <v>44348</v>
      </c>
      <c r="B31">
        <v>-52.252596542635658</v>
      </c>
    </row>
    <row r="32" spans="1:2" x14ac:dyDescent="0.45">
      <c r="A32" s="2">
        <v>44378</v>
      </c>
      <c r="B32">
        <v>-44.651388282070513</v>
      </c>
    </row>
    <row r="33" spans="1:2" x14ac:dyDescent="0.45">
      <c r="A33" s="2">
        <v>44409</v>
      </c>
      <c r="B33">
        <v>-26.04265968492123</v>
      </c>
    </row>
    <row r="34" spans="1:2" x14ac:dyDescent="0.45">
      <c r="A34" s="2">
        <v>44440</v>
      </c>
      <c r="B34">
        <v>-26.301876201550389</v>
      </c>
    </row>
    <row r="35" spans="1:2" x14ac:dyDescent="0.45">
      <c r="A35" s="2">
        <v>44470</v>
      </c>
      <c r="B35">
        <v>-56.623842760690167</v>
      </c>
    </row>
    <row r="36" spans="1:2" x14ac:dyDescent="0.45">
      <c r="A36" s="2">
        <v>44501</v>
      </c>
      <c r="B36">
        <v>-58.652836480620159</v>
      </c>
    </row>
    <row r="37" spans="1:2" x14ac:dyDescent="0.45">
      <c r="A37" s="2">
        <v>44531</v>
      </c>
      <c r="B37">
        <v>-37.602481455363836</v>
      </c>
    </row>
    <row r="38" spans="1:2" x14ac:dyDescent="0.45">
      <c r="A38" s="2">
        <v>44562</v>
      </c>
      <c r="B38">
        <v>-27.258146436609149</v>
      </c>
    </row>
    <row r="39" spans="1:2" x14ac:dyDescent="0.45">
      <c r="A39" s="2">
        <v>44593</v>
      </c>
      <c r="B39">
        <v>-34.53005712624585</v>
      </c>
    </row>
    <row r="40" spans="1:2" x14ac:dyDescent="0.45">
      <c r="A40" s="2">
        <v>44621</v>
      </c>
      <c r="B40">
        <v>-65.600073008252068</v>
      </c>
    </row>
    <row r="41" spans="1:2" x14ac:dyDescent="0.45">
      <c r="A41" s="2">
        <v>44652</v>
      </c>
      <c r="B41">
        <v>-43.39255654263566</v>
      </c>
    </row>
    <row r="42" spans="1:2" x14ac:dyDescent="0.45">
      <c r="A42" s="2">
        <v>44682</v>
      </c>
      <c r="B42">
        <v>-77.168676542635666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F7B3F-3F91-4843-9606-9032773F9976}">
  <dimension ref="A1:D42"/>
  <sheetViews>
    <sheetView workbookViewId="0">
      <selection activeCell="C2" sqref="C2"/>
    </sheetView>
  </sheetViews>
  <sheetFormatPr defaultRowHeight="14.25" x14ac:dyDescent="0.45"/>
  <sheetData>
    <row r="1" spans="1:4" x14ac:dyDescent="0.45">
      <c r="A1" t="s">
        <v>1</v>
      </c>
      <c r="B1" t="s">
        <v>2</v>
      </c>
      <c r="C1" s="1" t="s">
        <v>0</v>
      </c>
      <c r="D1" s="1" t="s">
        <v>3</v>
      </c>
    </row>
    <row r="2" spans="1:4" x14ac:dyDescent="0.45">
      <c r="A2" s="2">
        <v>43466</v>
      </c>
      <c r="B2" s="3">
        <v>2.9749255627393723E-2</v>
      </c>
      <c r="C2">
        <v>-56.673358659338682</v>
      </c>
      <c r="D2">
        <v>-23.20756292573143</v>
      </c>
    </row>
    <row r="3" spans="1:4" x14ac:dyDescent="0.45">
      <c r="A3" s="2">
        <v>43497</v>
      </c>
      <c r="B3" s="3">
        <v>9.4419792294502258E-3</v>
      </c>
      <c r="C3">
        <v>-37.931447012143579</v>
      </c>
      <c r="D3">
        <v>-13.503964036544851</v>
      </c>
    </row>
    <row r="4" spans="1:4" x14ac:dyDescent="0.45">
      <c r="A4" s="2">
        <v>43525</v>
      </c>
      <c r="B4" s="3">
        <v>4.5883040875196457E-2</v>
      </c>
      <c r="C4">
        <v>-18.84889604499206</v>
      </c>
      <c r="D4">
        <v>-3.7505624906226549</v>
      </c>
    </row>
    <row r="5" spans="1:4" x14ac:dyDescent="0.45">
      <c r="A5" s="2">
        <v>43556</v>
      </c>
      <c r="B5" s="3">
        <v>4.4766765087842941E-2</v>
      </c>
      <c r="C5">
        <v>-43.879633411092193</v>
      </c>
      <c r="D5">
        <v>-13.046777503875971</v>
      </c>
    </row>
    <row r="6" spans="1:4" x14ac:dyDescent="0.45">
      <c r="A6" s="2">
        <v>43586</v>
      </c>
      <c r="B6" s="3">
        <v>5.5875524878501892E-2</v>
      </c>
      <c r="C6">
        <v>-10.676944075565251</v>
      </c>
      <c r="D6">
        <v>-3.918687531882969</v>
      </c>
    </row>
    <row r="7" spans="1:4" x14ac:dyDescent="0.45">
      <c r="A7" s="2">
        <v>43617</v>
      </c>
      <c r="B7" s="3">
        <v>8.6288720369338989E-2</v>
      </c>
      <c r="C7">
        <v>-155.34540738452341</v>
      </c>
      <c r="D7">
        <v>-66.119087209302322</v>
      </c>
    </row>
    <row r="8" spans="1:4" x14ac:dyDescent="0.45">
      <c r="A8" s="2">
        <v>43647</v>
      </c>
      <c r="B8" s="3">
        <v>5.7517033070325851E-2</v>
      </c>
      <c r="C8">
        <v>-76.986016783393069</v>
      </c>
      <c r="D8">
        <v>-32.450453533383353</v>
      </c>
    </row>
    <row r="9" spans="1:4" x14ac:dyDescent="0.45">
      <c r="A9" s="2">
        <v>43678</v>
      </c>
      <c r="B9" s="3">
        <v>8.406335860490799E-2</v>
      </c>
      <c r="C9">
        <v>-93.354391415711632</v>
      </c>
      <c r="D9">
        <v>-37.622078619654907</v>
      </c>
    </row>
    <row r="10" spans="1:4" x14ac:dyDescent="0.45">
      <c r="A10" s="2">
        <v>43709</v>
      </c>
      <c r="B10" s="3">
        <v>3.9860047399997711E-2</v>
      </c>
      <c r="C10">
        <v>-39.85961601323325</v>
      </c>
      <c r="D10">
        <v>-13.84020640310078</v>
      </c>
    </row>
    <row r="11" spans="1:4" x14ac:dyDescent="0.45">
      <c r="A11" s="2">
        <v>43739</v>
      </c>
      <c r="B11" s="3">
        <v>4.2041536420583725E-2</v>
      </c>
      <c r="C11">
        <v>-139.90680942930589</v>
      </c>
      <c r="D11">
        <v>-50.05623842460615</v>
      </c>
    </row>
    <row r="12" spans="1:4" x14ac:dyDescent="0.45">
      <c r="A12" s="2">
        <v>43770</v>
      </c>
      <c r="B12" s="3">
        <v>4.8415493220090866E-2</v>
      </c>
      <c r="C12">
        <v>-26.903127251063651</v>
      </c>
      <c r="D12">
        <v>-9.2780522635658915</v>
      </c>
    </row>
    <row r="13" spans="1:4" x14ac:dyDescent="0.45">
      <c r="A13" s="2">
        <v>43800</v>
      </c>
      <c r="B13" s="3">
        <v>1.9415590912103653E-2</v>
      </c>
      <c r="C13">
        <v>-61.989998736896027</v>
      </c>
      <c r="D13">
        <v>-24.232644081020251</v>
      </c>
    </row>
    <row r="14" spans="1:4" x14ac:dyDescent="0.45">
      <c r="A14" s="2">
        <v>43831</v>
      </c>
      <c r="B14" s="3">
        <v>8.3829693496227264E-2</v>
      </c>
      <c r="C14">
        <v>-114.8682505923139</v>
      </c>
      <c r="D14">
        <v>-43.044911927981993</v>
      </c>
    </row>
    <row r="15" spans="1:4" x14ac:dyDescent="0.45">
      <c r="A15" s="2">
        <v>43862</v>
      </c>
      <c r="B15" s="3">
        <v>6.2416408210992813E-2</v>
      </c>
      <c r="C15">
        <v>-203.79241911881141</v>
      </c>
      <c r="D15">
        <v>-77.915969767441865</v>
      </c>
    </row>
    <row r="16" spans="1:4" x14ac:dyDescent="0.45">
      <c r="A16" s="2">
        <v>43891</v>
      </c>
      <c r="B16" s="3">
        <v>2.9929878190159798E-2</v>
      </c>
      <c r="C16">
        <v>-164.6777778151048</v>
      </c>
      <c r="D16">
        <v>-65.866513503375842</v>
      </c>
    </row>
    <row r="17" spans="1:4" x14ac:dyDescent="0.45">
      <c r="A17" s="2">
        <v>43922</v>
      </c>
      <c r="B17" s="3">
        <v>5.5707719177007675E-2</v>
      </c>
      <c r="C17">
        <v>-189.93994660887299</v>
      </c>
      <c r="D17">
        <v>-74.694895007751938</v>
      </c>
    </row>
    <row r="18" spans="1:4" x14ac:dyDescent="0.45">
      <c r="A18" s="2">
        <v>43952</v>
      </c>
      <c r="B18" s="3">
        <v>0.10814707726240158</v>
      </c>
      <c r="C18">
        <v>-134.64608120453261</v>
      </c>
      <c r="D18">
        <v>-55.240164861215312</v>
      </c>
    </row>
    <row r="19" spans="1:4" x14ac:dyDescent="0.45">
      <c r="A19" s="2">
        <v>43983</v>
      </c>
      <c r="B19" s="3">
        <v>0.12458471953868866</v>
      </c>
      <c r="C19">
        <v>-93.096677483252321</v>
      </c>
      <c r="D19">
        <v>-37.625722015503882</v>
      </c>
    </row>
    <row r="20" spans="1:4" x14ac:dyDescent="0.45">
      <c r="A20" s="2">
        <v>44013</v>
      </c>
      <c r="B20" s="3">
        <v>0.17552545666694641</v>
      </c>
      <c r="C20">
        <v>-121.5965469703074</v>
      </c>
      <c r="D20">
        <v>-50.914160855213808</v>
      </c>
    </row>
    <row r="21" spans="1:4" x14ac:dyDescent="0.45">
      <c r="A21" s="2">
        <v>44044</v>
      </c>
      <c r="B21" s="3">
        <v>7.5693488121032715E-2</v>
      </c>
      <c r="C21">
        <v>-115.8867336845052</v>
      </c>
      <c r="D21">
        <v>-47.276940105026263</v>
      </c>
    </row>
    <row r="22" spans="1:4" x14ac:dyDescent="0.45">
      <c r="A22" s="2">
        <v>44075</v>
      </c>
      <c r="B22" s="3">
        <v>0.1658003181219101</v>
      </c>
      <c r="C22">
        <v>-111.72123719040989</v>
      </c>
      <c r="D22">
        <v>-44.943982496124029</v>
      </c>
    </row>
    <row r="23" spans="1:4" x14ac:dyDescent="0.45">
      <c r="A23" s="2">
        <v>44105</v>
      </c>
      <c r="B23" s="3">
        <v>0.10545408725738525</v>
      </c>
      <c r="C23">
        <v>-66.343969487042756</v>
      </c>
      <c r="D23">
        <v>-26.206214697674419</v>
      </c>
    </row>
    <row r="24" spans="1:4" x14ac:dyDescent="0.45">
      <c r="A24" s="2">
        <v>44136</v>
      </c>
      <c r="B24" s="3">
        <v>7.3418073356151581E-2</v>
      </c>
      <c r="C24">
        <v>-35.173859362677057</v>
      </c>
      <c r="D24">
        <v>-11.736233937984499</v>
      </c>
    </row>
    <row r="25" spans="1:4" x14ac:dyDescent="0.45">
      <c r="A25" s="2">
        <v>44166</v>
      </c>
      <c r="B25" s="3">
        <v>6.1378657817840576E-2</v>
      </c>
      <c r="C25">
        <v>-83.615350427128803</v>
      </c>
      <c r="D25">
        <v>-33.885324216054009</v>
      </c>
    </row>
    <row r="26" spans="1:4" x14ac:dyDescent="0.45">
      <c r="A26" s="2">
        <v>44197</v>
      </c>
      <c r="B26" s="3">
        <v>0.25577783584594727</v>
      </c>
      <c r="C26">
        <v>-110.2276029644551</v>
      </c>
      <c r="D26">
        <v>-41.250639864966239</v>
      </c>
    </row>
    <row r="27" spans="1:4" x14ac:dyDescent="0.45">
      <c r="A27" s="2">
        <v>44228</v>
      </c>
      <c r="B27" s="3">
        <v>7.004903256893158E-2</v>
      </c>
      <c r="C27">
        <v>-80.828941275551955</v>
      </c>
      <c r="D27">
        <v>-28.07110292358804</v>
      </c>
    </row>
    <row r="28" spans="1:4" x14ac:dyDescent="0.45">
      <c r="A28" s="2">
        <v>44256</v>
      </c>
      <c r="B28" s="3">
        <v>0.14029689133167267</v>
      </c>
      <c r="C28">
        <v>-96.269907898201325</v>
      </c>
      <c r="D28">
        <v>-33.529407306826712</v>
      </c>
    </row>
    <row r="29" spans="1:4" x14ac:dyDescent="0.45">
      <c r="A29" s="2">
        <v>44287</v>
      </c>
      <c r="B29" s="3">
        <v>0.20247794687747955</v>
      </c>
      <c r="C29">
        <v>-252.6268885988265</v>
      </c>
      <c r="D29">
        <v>-81.381064031007753</v>
      </c>
    </row>
    <row r="30" spans="1:4" x14ac:dyDescent="0.45">
      <c r="A30" s="2">
        <v>44317</v>
      </c>
      <c r="B30" s="3">
        <v>0.11743153631687164</v>
      </c>
      <c r="C30">
        <v>-169.35477692682679</v>
      </c>
      <c r="D30">
        <v>-65.891773608402104</v>
      </c>
    </row>
    <row r="31" spans="1:4" x14ac:dyDescent="0.45">
      <c r="A31" s="2">
        <v>44348</v>
      </c>
      <c r="B31" s="3">
        <v>0.1542094349861145</v>
      </c>
      <c r="C31">
        <v>-139.0673548831418</v>
      </c>
      <c r="D31">
        <v>-52.252596542635658</v>
      </c>
    </row>
    <row r="32" spans="1:4" x14ac:dyDescent="0.45">
      <c r="A32" s="2">
        <v>44378</v>
      </c>
      <c r="B32" s="3">
        <v>0.12071126699447632</v>
      </c>
      <c r="C32">
        <v>-128.00911030273721</v>
      </c>
      <c r="D32">
        <v>-44.651388282070513</v>
      </c>
    </row>
    <row r="33" spans="1:4" x14ac:dyDescent="0.45">
      <c r="A33" s="2">
        <v>44409</v>
      </c>
      <c r="B33" s="3">
        <v>0.12001200020313263</v>
      </c>
      <c r="C33">
        <v>-75.316559287618688</v>
      </c>
      <c r="D33">
        <v>-26.04265968492123</v>
      </c>
    </row>
    <row r="34" spans="1:4" x14ac:dyDescent="0.45">
      <c r="A34" s="2">
        <v>44440</v>
      </c>
      <c r="B34" s="3">
        <v>0.20235112309455872</v>
      </c>
      <c r="C34">
        <v>-75.410972455927407</v>
      </c>
      <c r="D34">
        <v>-26.301876201550389</v>
      </c>
    </row>
    <row r="35" spans="1:4" x14ac:dyDescent="0.45">
      <c r="A35" s="2">
        <v>44470</v>
      </c>
      <c r="B35" s="3">
        <v>0.3179430365562439</v>
      </c>
      <c r="C35">
        <v>-150.21262449179719</v>
      </c>
      <c r="D35">
        <v>-56.623842760690167</v>
      </c>
    </row>
    <row r="36" spans="1:4" x14ac:dyDescent="0.45">
      <c r="A36" s="2">
        <v>44501</v>
      </c>
      <c r="B36" s="3">
        <v>0.23890784382820129</v>
      </c>
      <c r="C36">
        <v>-145.46290675638571</v>
      </c>
      <c r="D36">
        <v>-58.652836480620159</v>
      </c>
    </row>
    <row r="37" spans="1:4" x14ac:dyDescent="0.45">
      <c r="A37" s="2">
        <v>44531</v>
      </c>
      <c r="B37" s="3">
        <v>0.33998072147369385</v>
      </c>
      <c r="C37">
        <v>-94.358922456713728</v>
      </c>
      <c r="D37">
        <v>-37.602481455363836</v>
      </c>
    </row>
    <row r="38" spans="1:4" x14ac:dyDescent="0.45">
      <c r="A38" s="2">
        <v>44562</v>
      </c>
      <c r="B38" s="3">
        <v>0.22030843794345856</v>
      </c>
      <c r="C38">
        <v>-72.969212885048279</v>
      </c>
      <c r="D38">
        <v>-27.258146436609149</v>
      </c>
    </row>
    <row r="39" spans="1:4" x14ac:dyDescent="0.45">
      <c r="A39" s="2">
        <v>44593</v>
      </c>
      <c r="B39" s="3">
        <v>0.26024046540260315</v>
      </c>
      <c r="C39">
        <v>-88.684282844932</v>
      </c>
      <c r="D39">
        <v>-34.53005712624585</v>
      </c>
    </row>
    <row r="40" spans="1:4" x14ac:dyDescent="0.45">
      <c r="A40" s="2">
        <v>44621</v>
      </c>
      <c r="B40" s="3">
        <v>0.37856146693229675</v>
      </c>
      <c r="C40">
        <v>-156.58706869966031</v>
      </c>
      <c r="D40">
        <v>-65.600073008252068</v>
      </c>
    </row>
    <row r="41" spans="1:4" x14ac:dyDescent="0.45">
      <c r="A41" s="2">
        <v>44652</v>
      </c>
      <c r="B41" s="3">
        <v>0.12715713679790497</v>
      </c>
      <c r="C41">
        <v>-104.0048891749846</v>
      </c>
      <c r="D41">
        <v>-43.39255654263566</v>
      </c>
    </row>
    <row r="42" spans="1:4" x14ac:dyDescent="0.45">
      <c r="A42" s="2">
        <v>44682</v>
      </c>
      <c r="B42" s="3">
        <v>0.3190104067325592</v>
      </c>
      <c r="C42">
        <v>-199.09578104317561</v>
      </c>
      <c r="D42">
        <v>-77.168676542635666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5686C-0CC0-456F-891D-6E797511CCBF}">
  <dimension ref="A1:F42"/>
  <sheetViews>
    <sheetView tabSelected="1" workbookViewId="0">
      <selection activeCell="N18" sqref="N18"/>
    </sheetView>
  </sheetViews>
  <sheetFormatPr defaultRowHeight="14.25" x14ac:dyDescent="0.45"/>
  <sheetData>
    <row r="1" spans="1:6" x14ac:dyDescent="0.45">
      <c r="A1" t="s">
        <v>1</v>
      </c>
      <c r="B1" t="s">
        <v>4</v>
      </c>
      <c r="C1" s="1" t="s">
        <v>5</v>
      </c>
      <c r="D1" s="1" t="s">
        <v>6</v>
      </c>
    </row>
    <row r="2" spans="1:6" x14ac:dyDescent="0.45">
      <c r="A2" s="2">
        <v>43466</v>
      </c>
      <c r="B2" s="3">
        <f>-Sheet2!B2</f>
        <v>-2.9749255627393723E-2</v>
      </c>
      <c r="C2">
        <f>STANDARDIZE(Sheet2!C2,AVERAGE(Sheet2!C$2:C$42),STDEV(Sheet2!C$2:C$42))</f>
        <v>0.89875103732476258</v>
      </c>
      <c r="D2">
        <f>STANDARDIZE(Sheet2!D2,AVERAGE(Sheet2!D$2:D$42),STDEV(Sheet2!D$2:D$42))</f>
        <v>0.81953529920031143</v>
      </c>
      <c r="F2">
        <f>CORREL(B2:B42,D2:D42)</f>
        <v>0.38962026852139514</v>
      </c>
    </row>
    <row r="3" spans="1:6" x14ac:dyDescent="0.45">
      <c r="A3" s="2">
        <v>43497</v>
      </c>
      <c r="B3" s="3">
        <f>-Sheet2!B3</f>
        <v>-9.4419792294502258E-3</v>
      </c>
      <c r="C3">
        <f>STANDARDIZE(Sheet2!C3,AVERAGE(Sheet2!C$2:C$42),STDEV(Sheet2!C$2:C$42))</f>
        <v>1.2418985425113673</v>
      </c>
      <c r="D3">
        <f>STANDARDIZE(Sheet2!D3,AVERAGE(Sheet2!D$2:D$42),STDEV(Sheet2!D$2:D$42))</f>
        <v>1.2793641293200049</v>
      </c>
    </row>
    <row r="4" spans="1:6" x14ac:dyDescent="0.45">
      <c r="A4" s="2">
        <v>43525</v>
      </c>
      <c r="B4" s="3">
        <f>-Sheet2!B4</f>
        <v>-4.5883040875196457E-2</v>
      </c>
      <c r="C4">
        <f>STANDARDIZE(Sheet2!C4,AVERAGE(Sheet2!C$2:C$42),STDEV(Sheet2!C$2:C$42))</f>
        <v>1.5912828465374862</v>
      </c>
      <c r="D4">
        <f>STANDARDIZE(Sheet2!D4,AVERAGE(Sheet2!D$2:D$42),STDEV(Sheet2!D$2:D$42))</f>
        <v>1.7415529804633525</v>
      </c>
    </row>
    <row r="5" spans="1:6" x14ac:dyDescent="0.45">
      <c r="A5" s="2">
        <v>43556</v>
      </c>
      <c r="B5" s="3">
        <f>-Sheet2!B5</f>
        <v>-4.4766765087842941E-2</v>
      </c>
      <c r="C5">
        <f>STANDARDIZE(Sheet2!C5,AVERAGE(Sheet2!C$2:C$42),STDEV(Sheet2!C$2:C$42))</f>
        <v>1.1329926122302596</v>
      </c>
      <c r="D5">
        <f>STANDARDIZE(Sheet2!D5,AVERAGE(Sheet2!D$2:D$42),STDEV(Sheet2!D$2:D$42))</f>
        <v>1.3010290343582664</v>
      </c>
    </row>
    <row r="6" spans="1:6" x14ac:dyDescent="0.45">
      <c r="A6" s="2">
        <v>43586</v>
      </c>
      <c r="B6" s="3">
        <f>-Sheet2!B6</f>
        <v>-5.5875524878501892E-2</v>
      </c>
      <c r="C6">
        <f>STANDARDIZE(Sheet2!C6,AVERAGE(Sheet2!C$2:C$42),STDEV(Sheet2!C$2:C$42))</f>
        <v>1.7409039195422371</v>
      </c>
      <c r="D6">
        <f>STANDARDIZE(Sheet2!D6,AVERAGE(Sheet2!D$2:D$42),STDEV(Sheet2!D$2:D$42))</f>
        <v>1.7335859630794515</v>
      </c>
    </row>
    <row r="7" spans="1:6" x14ac:dyDescent="0.45">
      <c r="A7" s="2">
        <v>43617</v>
      </c>
      <c r="B7" s="3">
        <f>-Sheet2!B7</f>
        <v>-8.6288720369338989E-2</v>
      </c>
      <c r="C7">
        <f>STANDARDIZE(Sheet2!C7,AVERAGE(Sheet2!C$2:C$42),STDEV(Sheet2!C$2:C$42))</f>
        <v>-0.90784521545212771</v>
      </c>
      <c r="D7">
        <f>STANDARDIZE(Sheet2!D7,AVERAGE(Sheet2!D$2:D$42),STDEV(Sheet2!D$2:D$42))</f>
        <v>-1.2139325136496155</v>
      </c>
    </row>
    <row r="8" spans="1:6" x14ac:dyDescent="0.45">
      <c r="A8" s="2">
        <v>43647</v>
      </c>
      <c r="B8" s="3">
        <f>-Sheet2!B8</f>
        <v>-5.7517033070325851E-2</v>
      </c>
      <c r="C8">
        <f>STANDARDIZE(Sheet2!C8,AVERAGE(Sheet2!C$2:C$42),STDEV(Sheet2!C$2:C$42))</f>
        <v>0.52684458027875269</v>
      </c>
      <c r="D8">
        <f>STANDARDIZE(Sheet2!D8,AVERAGE(Sheet2!D$2:D$42),STDEV(Sheet2!D$2:D$42))</f>
        <v>0.38153826082549452</v>
      </c>
    </row>
    <row r="9" spans="1:6" x14ac:dyDescent="0.45">
      <c r="A9" s="2">
        <v>43678</v>
      </c>
      <c r="B9" s="3">
        <f>-Sheet2!B9</f>
        <v>-8.406335860490799E-2</v>
      </c>
      <c r="C9">
        <f>STANDARDIZE(Sheet2!C9,AVERAGE(Sheet2!C$2:C$42),STDEV(Sheet2!C$2:C$42))</f>
        <v>0.22715439793385717</v>
      </c>
      <c r="D9">
        <f>STANDARDIZE(Sheet2!D9,AVERAGE(Sheet2!D$2:D$42),STDEV(Sheet2!D$2:D$42))</f>
        <v>0.13646812340586634</v>
      </c>
    </row>
    <row r="10" spans="1:6" x14ac:dyDescent="0.45">
      <c r="A10" s="2">
        <v>43709</v>
      </c>
      <c r="B10" s="3">
        <f>-Sheet2!B10</f>
        <v>-3.9860047399997711E-2</v>
      </c>
      <c r="C10">
        <f>STANDARDIZE(Sheet2!C10,AVERAGE(Sheet2!C$2:C$42),STDEV(Sheet2!C$2:C$42))</f>
        <v>1.2065955064733604</v>
      </c>
      <c r="D10">
        <f>STANDARDIZE(Sheet2!D10,AVERAGE(Sheet2!D$2:D$42),STDEV(Sheet2!D$2:D$42))</f>
        <v>1.2634304601921116</v>
      </c>
    </row>
    <row r="11" spans="1:6" x14ac:dyDescent="0.45">
      <c r="A11" s="2">
        <v>43739</v>
      </c>
      <c r="B11" s="3">
        <f>-Sheet2!B11</f>
        <v>-4.2041536420583725E-2</v>
      </c>
      <c r="C11">
        <f>STANDARDIZE(Sheet2!C11,AVERAGE(Sheet2!C$2:C$42),STDEV(Sheet2!C$2:C$42))</f>
        <v>-0.62517840580975292</v>
      </c>
      <c r="D11">
        <f>STANDARDIZE(Sheet2!D11,AVERAGE(Sheet2!D$2:D$42),STDEV(Sheet2!D$2:D$42))</f>
        <v>-0.45275503203634404</v>
      </c>
    </row>
    <row r="12" spans="1:6" x14ac:dyDescent="0.45">
      <c r="A12" s="2">
        <v>43770</v>
      </c>
      <c r="B12" s="3">
        <f>-Sheet2!B12</f>
        <v>-4.8415493220090866E-2</v>
      </c>
      <c r="C12">
        <f>STANDARDIZE(Sheet2!C12,AVERAGE(Sheet2!C$2:C$42),STDEV(Sheet2!C$2:C$42))</f>
        <v>1.4438171345767112</v>
      </c>
      <c r="D12">
        <f>STANDARDIZE(Sheet2!D12,AVERAGE(Sheet2!D$2:D$42),STDEV(Sheet2!D$2:D$42))</f>
        <v>1.4796193221560769</v>
      </c>
    </row>
    <row r="13" spans="1:6" x14ac:dyDescent="0.45">
      <c r="A13" s="2">
        <v>43800</v>
      </c>
      <c r="B13" s="3">
        <f>-Sheet2!B13</f>
        <v>-1.9415590912103653E-2</v>
      </c>
      <c r="C13">
        <f>STANDARDIZE(Sheet2!C13,AVERAGE(Sheet2!C$2:C$42),STDEV(Sheet2!C$2:C$42))</f>
        <v>0.8014081508075297</v>
      </c>
      <c r="D13">
        <f>STANDARDIZE(Sheet2!D13,AVERAGE(Sheet2!D$2:D$42),STDEV(Sheet2!D$2:D$42))</f>
        <v>0.77095931478493396</v>
      </c>
    </row>
    <row r="14" spans="1:6" x14ac:dyDescent="0.45">
      <c r="A14" s="2">
        <v>43831</v>
      </c>
      <c r="B14" s="3">
        <f>-Sheet2!B14</f>
        <v>-8.3829693496227264E-2</v>
      </c>
      <c r="C14">
        <f>STANDARDIZE(Sheet2!C14,AVERAGE(Sheet2!C$2:C$42),STDEV(Sheet2!C$2:C$42))</f>
        <v>-0.16674496742206985</v>
      </c>
      <c r="D14">
        <f>STANDARDIZE(Sheet2!D14,AVERAGE(Sheet2!D$2:D$42),STDEV(Sheet2!D$2:D$42))</f>
        <v>-0.12050613166983765</v>
      </c>
    </row>
    <row r="15" spans="1:6" x14ac:dyDescent="0.45">
      <c r="A15" s="2">
        <v>43862</v>
      </c>
      <c r="B15" s="3">
        <f>-Sheet2!B15</f>
        <v>-6.2416408210992813E-2</v>
      </c>
      <c r="C15">
        <f>STANDARDIZE(Sheet2!C15,AVERAGE(Sheet2!C$2:C$42),STDEV(Sheet2!C$2:C$42))</f>
        <v>-1.7948663221200321</v>
      </c>
      <c r="D15">
        <f>STANDARDIZE(Sheet2!D15,AVERAGE(Sheet2!D$2:D$42),STDEV(Sheet2!D$2:D$42))</f>
        <v>-1.7729567239159409</v>
      </c>
    </row>
    <row r="16" spans="1:6" x14ac:dyDescent="0.45">
      <c r="A16" s="2">
        <v>43891</v>
      </c>
      <c r="B16" s="3">
        <f>-Sheet2!B16</f>
        <v>-2.9929878190159798E-2</v>
      </c>
      <c r="C16">
        <f>STANDARDIZE(Sheet2!C16,AVERAGE(Sheet2!C$2:C$42),STDEV(Sheet2!C$2:C$42))</f>
        <v>-1.0787125042865893</v>
      </c>
      <c r="D16">
        <f>STANDARDIZE(Sheet2!D16,AVERAGE(Sheet2!D$2:D$42),STDEV(Sheet2!D$2:D$42))</f>
        <v>-1.2019636891916514</v>
      </c>
    </row>
    <row r="17" spans="1:4" x14ac:dyDescent="0.45">
      <c r="A17" s="2">
        <v>43922</v>
      </c>
      <c r="B17" s="3">
        <f>-Sheet2!B17</f>
        <v>-5.5707719177007675E-2</v>
      </c>
      <c r="C17">
        <f>STANDARDIZE(Sheet2!C17,AVERAGE(Sheet2!C$2:C$42),STDEV(Sheet2!C$2:C$42))</f>
        <v>-1.5412400393836716</v>
      </c>
      <c r="D17">
        <f>STANDARDIZE(Sheet2!D17,AVERAGE(Sheet2!D$2:D$42),STDEV(Sheet2!D$2:D$42))</f>
        <v>-1.6203181971805836</v>
      </c>
    </row>
    <row r="18" spans="1:4" x14ac:dyDescent="0.45">
      <c r="A18" s="2">
        <v>43952</v>
      </c>
      <c r="B18" s="3">
        <f>-Sheet2!B18</f>
        <v>-0.10814707726240158</v>
      </c>
      <c r="C18">
        <f>STANDARDIZE(Sheet2!C18,AVERAGE(Sheet2!C$2:C$42),STDEV(Sheet2!C$2:C$42))</f>
        <v>-0.52885921490876098</v>
      </c>
      <c r="D18">
        <f>STANDARDIZE(Sheet2!D18,AVERAGE(Sheet2!D$2:D$42),STDEV(Sheet2!D$2:D$42))</f>
        <v>-0.69840809910910728</v>
      </c>
    </row>
    <row r="19" spans="1:4" x14ac:dyDescent="0.45">
      <c r="A19" s="2">
        <v>43983</v>
      </c>
      <c r="B19" s="3">
        <f>-Sheet2!B19</f>
        <v>-0.12458471953868866</v>
      </c>
      <c r="C19">
        <f>STANDARDIZE(Sheet2!C19,AVERAGE(Sheet2!C$2:C$42),STDEV(Sheet2!C$2:C$42))</f>
        <v>0.23187290769102362</v>
      </c>
      <c r="D19">
        <f>STANDARDIZE(Sheet2!D19,AVERAGE(Sheet2!D$2:D$42),STDEV(Sheet2!D$2:D$42))</f>
        <v>0.13629547215863019</v>
      </c>
    </row>
    <row r="20" spans="1:4" x14ac:dyDescent="0.45">
      <c r="A20" s="2">
        <v>44013</v>
      </c>
      <c r="B20" s="3">
        <f>-Sheet2!B20</f>
        <v>-0.17552545666694641</v>
      </c>
      <c r="C20">
        <f>STANDARDIZE(Sheet2!C20,AVERAGE(Sheet2!C$2:C$42),STDEV(Sheet2!C$2:C$42))</f>
        <v>-0.289934008098722</v>
      </c>
      <c r="D20">
        <f>STANDARDIZE(Sheet2!D20,AVERAGE(Sheet2!D$2:D$42),STDEV(Sheet2!D$2:D$42))</f>
        <v>-0.49340979034868326</v>
      </c>
    </row>
    <row r="21" spans="1:4" x14ac:dyDescent="0.45">
      <c r="A21" s="2">
        <v>44044</v>
      </c>
      <c r="B21" s="3">
        <f>-Sheet2!B21</f>
        <v>-7.5693488121032715E-2</v>
      </c>
      <c r="C21">
        <f>STANDARDIZE(Sheet2!C21,AVERAGE(Sheet2!C$2:C$42),STDEV(Sheet2!C$2:C$42))</f>
        <v>-0.18539247461019004</v>
      </c>
      <c r="D21">
        <f>STANDARDIZE(Sheet2!D21,AVERAGE(Sheet2!D$2:D$42),STDEV(Sheet2!D$2:D$42))</f>
        <v>-0.32105116531219308</v>
      </c>
    </row>
    <row r="22" spans="1:4" x14ac:dyDescent="0.45">
      <c r="A22" s="2">
        <v>44075</v>
      </c>
      <c r="B22" s="3">
        <f>-Sheet2!B22</f>
        <v>-0.1658003181219101</v>
      </c>
      <c r="C22">
        <f>STANDARDIZE(Sheet2!C22,AVERAGE(Sheet2!C$2:C$42),STDEV(Sheet2!C$2:C$42))</f>
        <v>-0.10912598927403316</v>
      </c>
      <c r="D22">
        <f>STANDARDIZE(Sheet2!D22,AVERAGE(Sheet2!D$2:D$42),STDEV(Sheet2!D$2:D$42))</f>
        <v>-0.2104982477533473</v>
      </c>
    </row>
    <row r="23" spans="1:4" x14ac:dyDescent="0.45">
      <c r="A23" s="2">
        <v>44105</v>
      </c>
      <c r="B23" s="3">
        <f>-Sheet2!B23</f>
        <v>-0.10545408725738525</v>
      </c>
      <c r="C23">
        <f>STANDARDIZE(Sheet2!C23,AVERAGE(Sheet2!C$2:C$42),STDEV(Sheet2!C$2:C$42))</f>
        <v>0.72169087176508484</v>
      </c>
      <c r="D23">
        <f>STANDARDIZE(Sheet2!D23,AVERAGE(Sheet2!D$2:D$42),STDEV(Sheet2!D$2:D$42))</f>
        <v>0.6774368312014476</v>
      </c>
    </row>
    <row r="24" spans="1:4" x14ac:dyDescent="0.45">
      <c r="A24" s="2">
        <v>44136</v>
      </c>
      <c r="B24" s="3">
        <f>-Sheet2!B24</f>
        <v>-7.3418073356151581E-2</v>
      </c>
      <c r="C24">
        <f>STANDARDIZE(Sheet2!C24,AVERAGE(Sheet2!C$2:C$42),STDEV(Sheet2!C$2:C$42))</f>
        <v>1.2923874862253584</v>
      </c>
      <c r="D24">
        <f>STANDARDIZE(Sheet2!D24,AVERAGE(Sheet2!D$2:D$42),STDEV(Sheet2!D$2:D$42))</f>
        <v>1.3631323551577603</v>
      </c>
    </row>
    <row r="25" spans="1:4" x14ac:dyDescent="0.45">
      <c r="A25" s="2">
        <v>44166</v>
      </c>
      <c r="B25" s="3">
        <f>-Sheet2!B25</f>
        <v>-6.1378657817840576E-2</v>
      </c>
      <c r="C25">
        <f>STANDARDIZE(Sheet2!C25,AVERAGE(Sheet2!C$2:C$42),STDEV(Sheet2!C$2:C$42))</f>
        <v>0.4054674580449068</v>
      </c>
      <c r="D25">
        <f>STANDARDIZE(Sheet2!D25,AVERAGE(Sheet2!D$2:D$42),STDEV(Sheet2!D$2:D$42))</f>
        <v>0.31354339470208642</v>
      </c>
    </row>
    <row r="26" spans="1:4" x14ac:dyDescent="0.45">
      <c r="A26" s="2">
        <v>44197</v>
      </c>
      <c r="B26" s="3">
        <f>-Sheet2!B26</f>
        <v>-0.25577783584594727</v>
      </c>
      <c r="C26">
        <f>STANDARDIZE(Sheet2!C26,AVERAGE(Sheet2!C$2:C$42),STDEV(Sheet2!C$2:C$42))</f>
        <v>-8.1778893206892203E-2</v>
      </c>
      <c r="D26">
        <f>STANDARDIZE(Sheet2!D26,AVERAGE(Sheet2!D$2:D$42),STDEV(Sheet2!D$2:D$42))</f>
        <v>-3.5480149755807343E-2</v>
      </c>
    </row>
    <row r="27" spans="1:4" x14ac:dyDescent="0.45">
      <c r="A27" s="2">
        <v>44228</v>
      </c>
      <c r="B27" s="3">
        <f>-Sheet2!B27</f>
        <v>-7.004903256893158E-2</v>
      </c>
      <c r="C27">
        <f>STANDARDIZE(Sheet2!C27,AVERAGE(Sheet2!C$2:C$42),STDEV(Sheet2!C$2:C$42))</f>
        <v>0.45648409747804675</v>
      </c>
      <c r="D27">
        <f>STANDARDIZE(Sheet2!D27,AVERAGE(Sheet2!D$2:D$42),STDEV(Sheet2!D$2:D$42))</f>
        <v>0.58906452923197339</v>
      </c>
    </row>
    <row r="28" spans="1:4" x14ac:dyDescent="0.45">
      <c r="A28" s="2">
        <v>44256</v>
      </c>
      <c r="B28" s="3">
        <f>-Sheet2!B28</f>
        <v>-0.14029689133167267</v>
      </c>
      <c r="C28">
        <f>STANDARDIZE(Sheet2!C28,AVERAGE(Sheet2!C$2:C$42),STDEV(Sheet2!C$2:C$42))</f>
        <v>0.17377391967050509</v>
      </c>
      <c r="D28">
        <f>STANDARDIZE(Sheet2!D28,AVERAGE(Sheet2!D$2:D$42),STDEV(Sheet2!D$2:D$42))</f>
        <v>0.33040939028360039</v>
      </c>
    </row>
    <row r="29" spans="1:4" x14ac:dyDescent="0.45">
      <c r="A29" s="2">
        <v>44287</v>
      </c>
      <c r="B29" s="3">
        <f>-Sheet2!B29</f>
        <v>-0.20247794687747955</v>
      </c>
      <c r="C29">
        <f>STANDARDIZE(Sheet2!C29,AVERAGE(Sheet2!C$2:C$42),STDEV(Sheet2!C$2:C$42))</f>
        <v>-2.6889814307934028</v>
      </c>
      <c r="D29">
        <f>STANDARDIZE(Sheet2!D29,AVERAGE(Sheet2!D$2:D$42),STDEV(Sheet2!D$2:D$42))</f>
        <v>-1.9371587132670824</v>
      </c>
    </row>
    <row r="30" spans="1:4" x14ac:dyDescent="0.45">
      <c r="A30" s="2">
        <v>44317</v>
      </c>
      <c r="B30" s="3">
        <f>-Sheet2!B30</f>
        <v>-0.11743153631687164</v>
      </c>
      <c r="C30">
        <f>STANDARDIZE(Sheet2!C30,AVERAGE(Sheet2!C$2:C$42),STDEV(Sheet2!C$2:C$42))</f>
        <v>-1.1643441413980335</v>
      </c>
      <c r="D30">
        <f>STANDARDIZE(Sheet2!D30,AVERAGE(Sheet2!D$2:D$42),STDEV(Sheet2!D$2:D$42))</f>
        <v>-1.2031607012152905</v>
      </c>
    </row>
    <row r="31" spans="1:4" x14ac:dyDescent="0.45">
      <c r="A31" s="2">
        <v>44348</v>
      </c>
      <c r="B31" s="3">
        <f>-Sheet2!B31</f>
        <v>-0.1542094349861145</v>
      </c>
      <c r="C31">
        <f>STANDARDIZE(Sheet2!C31,AVERAGE(Sheet2!C$2:C$42),STDEV(Sheet2!C$2:C$42))</f>
        <v>-0.60980874989331002</v>
      </c>
      <c r="D31">
        <f>STANDARDIZE(Sheet2!D31,AVERAGE(Sheet2!D$2:D$42),STDEV(Sheet2!D$2:D$42))</f>
        <v>-0.55683484772852598</v>
      </c>
    </row>
    <row r="32" spans="1:4" x14ac:dyDescent="0.45">
      <c r="A32" s="2">
        <v>44378</v>
      </c>
      <c r="B32" s="3">
        <f>-Sheet2!B32</f>
        <v>-0.12071126699447632</v>
      </c>
      <c r="C32">
        <f>STANDARDIZE(Sheet2!C32,AVERAGE(Sheet2!C$2:C$42),STDEV(Sheet2!C$2:C$42))</f>
        <v>-0.40734226136533619</v>
      </c>
      <c r="D32">
        <f>STANDARDIZE(Sheet2!D32,AVERAGE(Sheet2!D$2:D$42),STDEV(Sheet2!D$2:D$42))</f>
        <v>-0.19663295337293443</v>
      </c>
    </row>
    <row r="33" spans="1:4" x14ac:dyDescent="0.45">
      <c r="A33" s="2">
        <v>44409</v>
      </c>
      <c r="B33" s="3">
        <f>-Sheet2!B33</f>
        <v>-0.12001200020313263</v>
      </c>
      <c r="C33">
        <f>STANDARDIZE(Sheet2!C33,AVERAGE(Sheet2!C$2:C$42),STDEV(Sheet2!C$2:C$42))</f>
        <v>0.55741084189997803</v>
      </c>
      <c r="D33">
        <f>STANDARDIZE(Sheet2!D33,AVERAGE(Sheet2!D$2:D$42),STDEV(Sheet2!D$2:D$42))</f>
        <v>0.68518728657716599</v>
      </c>
    </row>
    <row r="34" spans="1:4" x14ac:dyDescent="0.45">
      <c r="A34" s="2">
        <v>44440</v>
      </c>
      <c r="B34" s="3">
        <f>-Sheet2!B34</f>
        <v>-0.20235112309455872</v>
      </c>
      <c r="C34">
        <f>STANDARDIZE(Sheet2!C34,AVERAGE(Sheet2!C$2:C$42),STDEV(Sheet2!C$2:C$42))</f>
        <v>0.55568222190796412</v>
      </c>
      <c r="D34">
        <f>STANDARDIZE(Sheet2!D34,AVERAGE(Sheet2!D$2:D$42),STDEV(Sheet2!D$2:D$42))</f>
        <v>0.67290367624346636</v>
      </c>
    </row>
    <row r="35" spans="1:4" x14ac:dyDescent="0.45">
      <c r="A35" s="2">
        <v>44470</v>
      </c>
      <c r="B35" s="3">
        <f>-Sheet2!B35</f>
        <v>-0.3179430365562439</v>
      </c>
      <c r="C35">
        <f>STANDARDIZE(Sheet2!C35,AVERAGE(Sheet2!C$2:C$42),STDEV(Sheet2!C$2:C$42))</f>
        <v>-0.81386858822973429</v>
      </c>
      <c r="D35">
        <f>STANDARDIZE(Sheet2!D35,AVERAGE(Sheet2!D$2:D$42),STDEV(Sheet2!D$2:D$42))</f>
        <v>-0.76397706965744905</v>
      </c>
    </row>
    <row r="36" spans="1:4" x14ac:dyDescent="0.45">
      <c r="A36" s="2">
        <v>44501</v>
      </c>
      <c r="B36" s="3">
        <f>-Sheet2!B36</f>
        <v>-0.23890784382820129</v>
      </c>
      <c r="C36">
        <f>STANDARDIZE(Sheet2!C36,AVERAGE(Sheet2!C$2:C$42),STDEV(Sheet2!C$2:C$42))</f>
        <v>-0.72690553867918639</v>
      </c>
      <c r="D36">
        <f>STANDARDIZE(Sheet2!D36,AVERAGE(Sheet2!D$2:D$42),STDEV(Sheet2!D$2:D$42))</f>
        <v>-0.86012591290727791</v>
      </c>
    </row>
    <row r="37" spans="1:4" x14ac:dyDescent="0.45">
      <c r="A37" s="2">
        <v>44531</v>
      </c>
      <c r="B37" s="3">
        <f>-Sheet2!B37</f>
        <v>-0.33998072147369385</v>
      </c>
      <c r="C37">
        <f>STANDARDIZE(Sheet2!C37,AVERAGE(Sheet2!C$2:C$42),STDEV(Sheet2!C$2:C$42))</f>
        <v>0.20876234022431397</v>
      </c>
      <c r="D37">
        <f>STANDARDIZE(Sheet2!D37,AVERAGE(Sheet2!D$2:D$42),STDEV(Sheet2!D$2:D$42))</f>
        <v>0.13739678309517689</v>
      </c>
    </row>
    <row r="38" spans="1:4" x14ac:dyDescent="0.45">
      <c r="A38" s="2">
        <v>44562</v>
      </c>
      <c r="B38" s="3">
        <f>-Sheet2!B38</f>
        <v>-0.22030843794345856</v>
      </c>
      <c r="C38">
        <f>STANDARDIZE(Sheet2!C38,AVERAGE(Sheet2!C$2:C$42),STDEV(Sheet2!C$2:C$42))</f>
        <v>0.60038863824293187</v>
      </c>
      <c r="D38">
        <f>STANDARDIZE(Sheet2!D38,AVERAGE(Sheet2!D$2:D$42),STDEV(Sheet2!D$2:D$42))</f>
        <v>0.62758846603260676</v>
      </c>
    </row>
    <row r="39" spans="1:4" x14ac:dyDescent="0.45">
      <c r="A39" s="2">
        <v>44593</v>
      </c>
      <c r="B39" s="3">
        <f>-Sheet2!B39</f>
        <v>-0.26024046540260315</v>
      </c>
      <c r="C39">
        <f>STANDARDIZE(Sheet2!C39,AVERAGE(Sheet2!C$2:C$42),STDEV(Sheet2!C$2:C$42))</f>
        <v>0.31265987545292578</v>
      </c>
      <c r="D39">
        <f>STANDARDIZE(Sheet2!D39,AVERAGE(Sheet2!D$2:D$42),STDEV(Sheet2!D$2:D$42))</f>
        <v>0.28299114463293379</v>
      </c>
    </row>
    <row r="40" spans="1:4" x14ac:dyDescent="0.45">
      <c r="A40" s="2">
        <v>44621</v>
      </c>
      <c r="B40" s="3">
        <f>-Sheet2!B40</f>
        <v>-0.37856146693229675</v>
      </c>
      <c r="C40">
        <f>STANDARDIZE(Sheet2!C40,AVERAGE(Sheet2!C$2:C$42),STDEV(Sheet2!C$2:C$42))</f>
        <v>-0.93057891469244558</v>
      </c>
      <c r="D40">
        <f>STANDARDIZE(Sheet2!D40,AVERAGE(Sheet2!D$2:D$42),STDEV(Sheet2!D$2:D$42))</f>
        <v>-1.1893377529211604</v>
      </c>
    </row>
    <row r="41" spans="1:4" x14ac:dyDescent="0.45">
      <c r="A41" s="2">
        <v>44652</v>
      </c>
      <c r="B41" s="3">
        <f>-Sheet2!B41</f>
        <v>-0.12715713679790497</v>
      </c>
      <c r="C41">
        <f>STANDARDIZE(Sheet2!C41,AVERAGE(Sheet2!C$2:C$42),STDEV(Sheet2!C$2:C$42))</f>
        <v>3.2153386090062755E-2</v>
      </c>
      <c r="D41">
        <f>STANDARDIZE(Sheet2!D41,AVERAGE(Sheet2!D$2:D$42),STDEV(Sheet2!D$2:D$42))</f>
        <v>-0.13698012428630366</v>
      </c>
    </row>
    <row r="42" spans="1:4" x14ac:dyDescent="0.45">
      <c r="A42" s="2">
        <v>44682</v>
      </c>
      <c r="B42" s="3">
        <f>-Sheet2!B42</f>
        <v>-0.3190104067325592</v>
      </c>
      <c r="C42">
        <f>STANDARDIZE(Sheet2!C42,AVERAGE(Sheet2!C$2:C$42),STDEV(Sheet2!C$2:C$42))</f>
        <v>-1.708875113285151</v>
      </c>
      <c r="D42">
        <f>STANDARDIZE(Sheet2!D42,AVERAGE(Sheet2!D$2:D$42),STDEV(Sheet2!D$2:D$42))</f>
        <v>-1.7375444018235742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Dimercurio</cp:lastModifiedBy>
  <dcterms:created xsi:type="dcterms:W3CDTF">2022-06-30T11:17:57Z</dcterms:created>
  <dcterms:modified xsi:type="dcterms:W3CDTF">2022-07-01T08:02:57Z</dcterms:modified>
</cp:coreProperties>
</file>