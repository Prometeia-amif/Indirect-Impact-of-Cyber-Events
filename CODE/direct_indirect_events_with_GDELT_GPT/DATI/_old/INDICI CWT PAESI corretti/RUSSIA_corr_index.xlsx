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D0536D65-CA6A-4C51-8B07-ECE65E8016FC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2" i="3" l="1"/>
  <c r="C2" i="3"/>
  <c r="B2" i="3"/>
  <c r="B3" i="3" l="1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F2" i="2" l="1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<sst xmlns="http://schemas.openxmlformats.org/spreadsheetml/2006/main" count="10" uniqueCount="7">
  <si>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</si>
  <si>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</si>
  <si>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GPRC_RUS</t>
  </si>
  <si>
    <t>CWT_Idcorr</t>
  </si>
  <si>
    <t xml:space="preserve"> -GPRC_RUS</t>
  </si>
  <si>
    <t>CWT_stand</t>
  </si>
  <si>
    <t>CWT_corr_stand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</si>
</sst>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</a:t>
            </a:r>
          </a:p>
        </c:rich>
      </c:tx>
      <c:layout>
        <c:manualLayout>
          <c:xMode val="edge"/>
          <c:yMode val="edge"/>
          <c:x val="0.40949300087489071"/>
          <c:y val="1.9525806241185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-2357.0626331178369</c:v>
                </c:pt>
                <c:pt idx="1">
                  <c:v>-2232.6716382298209</c:v>
                </c:pt>
                <c:pt idx="2">
                  <c:v>-2337.3384650659718</c:v>
                </c:pt>
                <c:pt idx="3">
                  <c:v>-2049.946321642577</c:v>
                </c:pt>
                <c:pt idx="4">
                  <c:v>-1949.6975484211071</c:v>
                </c:pt>
                <c:pt idx="5">
                  <c:v>-2024.8756216289321</c:v>
                </c:pt>
                <c:pt idx="6">
                  <c:v>-2015.3381864144001</c:v>
                </c:pt>
                <c:pt idx="7">
                  <c:v>-1752.946058144893</c:v>
                </c:pt>
                <c:pt idx="8">
                  <c:v>-1472.0207165264981</c:v>
                </c:pt>
                <c:pt idx="9">
                  <c:v>-1812.524009215022</c:v>
                </c:pt>
                <c:pt idx="10">
                  <c:v>-1577.93457616313</c:v>
                </c:pt>
                <c:pt idx="11">
                  <c:v>-2062.6973633346729</c:v>
                </c:pt>
                <c:pt idx="12">
                  <c:v>-1425.9348973168619</c:v>
                </c:pt>
                <c:pt idx="13">
                  <c:v>-2021.6546764869929</c:v>
                </c:pt>
                <c:pt idx="14">
                  <c:v>-1599.708110341759</c:v>
                </c:pt>
                <c:pt idx="15">
                  <c:v>-1375.4128363811869</c:v>
                </c:pt>
                <c:pt idx="16">
                  <c:v>-1498.6538958828719</c:v>
                </c:pt>
                <c:pt idx="17">
                  <c:v>-1459.630516590147</c:v>
                </c:pt>
                <c:pt idx="18">
                  <c:v>-1673.1362985415319</c:v>
                </c:pt>
                <c:pt idx="19">
                  <c:v>-1966.589655527976</c:v>
                </c:pt>
                <c:pt idx="20">
                  <c:v>-2002.110285303911</c:v>
                </c:pt>
                <c:pt idx="21">
                  <c:v>-1205.013151920037</c:v>
                </c:pt>
                <c:pt idx="22">
                  <c:v>-734.07321830418834</c:v>
                </c:pt>
                <c:pt idx="23">
                  <c:v>-1546.34917593557</c:v>
                </c:pt>
                <c:pt idx="24">
                  <c:v>-1728.0187721307821</c:v>
                </c:pt>
                <c:pt idx="25">
                  <c:v>-1778.152069783305</c:v>
                </c:pt>
                <c:pt idx="26">
                  <c:v>-1405.3721084424319</c:v>
                </c:pt>
                <c:pt idx="27">
                  <c:v>-2195.1426294744738</c:v>
                </c:pt>
                <c:pt idx="28">
                  <c:v>-1312.5479845229111</c:v>
                </c:pt>
                <c:pt idx="29">
                  <c:v>-1463.4503094637221</c:v>
                </c:pt>
                <c:pt idx="30">
                  <c:v>-1067.774229817217</c:v>
                </c:pt>
                <c:pt idx="31">
                  <c:v>-960.22599353843282</c:v>
                </c:pt>
                <c:pt idx="32">
                  <c:v>-1122.249358080971</c:v>
                </c:pt>
                <c:pt idx="33">
                  <c:v>-1086.0242562908691</c:v>
                </c:pt>
                <c:pt idx="34">
                  <c:v>-1314.634203054035</c:v>
                </c:pt>
                <c:pt idx="35">
                  <c:v>-1571.46634503071</c:v>
                </c:pt>
                <c:pt idx="36">
                  <c:v>-2274.018275193333</c:v>
                </c:pt>
                <c:pt idx="37">
                  <c:v>-7103.6987906499262</c:v>
                </c:pt>
                <c:pt idx="38">
                  <c:v>-12705.343999871789</c:v>
                </c:pt>
                <c:pt idx="39">
                  <c:v>-8793.0280748734949</c:v>
                </c:pt>
                <c:pt idx="40">
                  <c:v>-5398.456393085381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9-4468-9464-2746E9F5C80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CWT_Idcorr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-890.07114525820293</c:v>
                </c:pt>
                <c:pt idx="1">
                  <c:v>-892.03263415082779</c:v>
                </c:pt>
                <c:pt idx="2">
                  <c:v>-907.81525028381566</c:v>
                </c:pt>
                <c:pt idx="3">
                  <c:v>-785.43807459227469</c:v>
                </c:pt>
                <c:pt idx="4">
                  <c:v>-730.56738532465738</c:v>
                </c:pt>
                <c:pt idx="5">
                  <c:v>-762.25601590844065</c:v>
                </c:pt>
                <c:pt idx="6">
                  <c:v>-754.14884402602797</c:v>
                </c:pt>
                <c:pt idx="7">
                  <c:v>-641.11921468918729</c:v>
                </c:pt>
                <c:pt idx="8">
                  <c:v>-556.88526064377686</c:v>
                </c:pt>
                <c:pt idx="9">
                  <c:v>-687.23285107296135</c:v>
                </c:pt>
                <c:pt idx="10">
                  <c:v>-602.77495288984267</c:v>
                </c:pt>
                <c:pt idx="11">
                  <c:v>-781.60777297521804</c:v>
                </c:pt>
                <c:pt idx="12">
                  <c:v>-511.80680394572892</c:v>
                </c:pt>
                <c:pt idx="13">
                  <c:v>-724.08847598046475</c:v>
                </c:pt>
                <c:pt idx="14">
                  <c:v>-576.38434570123218</c:v>
                </c:pt>
                <c:pt idx="15">
                  <c:v>-483.4254873676681</c:v>
                </c:pt>
                <c:pt idx="16">
                  <c:v>-517.10378025751072</c:v>
                </c:pt>
                <c:pt idx="17">
                  <c:v>-528.97608052932765</c:v>
                </c:pt>
                <c:pt idx="18">
                  <c:v>-614.16261313858513</c:v>
                </c:pt>
                <c:pt idx="19">
                  <c:v>-731.10654952235916</c:v>
                </c:pt>
                <c:pt idx="20">
                  <c:v>-738.36534175965664</c:v>
                </c:pt>
                <c:pt idx="21">
                  <c:v>-420.24811905579389</c:v>
                </c:pt>
                <c:pt idx="22">
                  <c:v>-258.33233203147353</c:v>
                </c:pt>
                <c:pt idx="23">
                  <c:v>-549.90783534542436</c:v>
                </c:pt>
                <c:pt idx="24">
                  <c:v>-654.21843544233695</c:v>
                </c:pt>
                <c:pt idx="25">
                  <c:v>-676.96081638565295</c:v>
                </c:pt>
                <c:pt idx="26">
                  <c:v>-525.5048323134431</c:v>
                </c:pt>
                <c:pt idx="27">
                  <c:v>-816.80069692417737</c:v>
                </c:pt>
                <c:pt idx="28">
                  <c:v>-488.7202171120033</c:v>
                </c:pt>
                <c:pt idx="29">
                  <c:v>-545.46822595135905</c:v>
                </c:pt>
                <c:pt idx="30">
                  <c:v>-380.83617063547001</c:v>
                </c:pt>
                <c:pt idx="31">
                  <c:v>-344.62102687249057</c:v>
                </c:pt>
                <c:pt idx="32">
                  <c:v>-405.50863115879832</c:v>
                </c:pt>
                <c:pt idx="33">
                  <c:v>-378.71639263463942</c:v>
                </c:pt>
                <c:pt idx="34">
                  <c:v>-488.70274038626599</c:v>
                </c:pt>
                <c:pt idx="35">
                  <c:v>-605.30451666897409</c:v>
                </c:pt>
                <c:pt idx="36">
                  <c:v>-895.07389151322161</c:v>
                </c:pt>
                <c:pt idx="37">
                  <c:v>-2759.1649251072959</c:v>
                </c:pt>
                <c:pt idx="38">
                  <c:v>-4772.3990991554756</c:v>
                </c:pt>
                <c:pt idx="39">
                  <c:v>-3178.9117760658091</c:v>
                </c:pt>
                <c:pt idx="40">
                  <c:v>-1991.724237696709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9-4468-9464-2746E9F5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403808"/>
        <c:axId val="2030405520"/>
      </c:lineChart>
      <c:dateAx>
        <c:axId val="1932403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05520"/>
        <c:crosses val="autoZero"/>
        <c:auto val="1"/>
        <c:lblOffset val="100"/>
        <c:baseTimeUnit val="months"/>
      </c:dateAx>
      <c:valAx>
        <c:axId val="20304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4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        CORR=0.961098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278494315533004E-2"/>
          <c:y val="0.12302150980374979"/>
          <c:w val="0.91274170468583549"/>
          <c:h val="0.70904794146195294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-GPRC_RUS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-0.99872505664825439</c:v>
                </c:pt>
                <c:pt idx="1">
                  <c:v>-1.0575016736984253</c:v>
                </c:pt>
                <c:pt idx="2">
                  <c:v>-0.56311005353927612</c:v>
                </c:pt>
                <c:pt idx="3">
                  <c:v>-0.80580174922943115</c:v>
                </c:pt>
                <c:pt idx="4">
                  <c:v>-0.97137451171875</c:v>
                </c:pt>
                <c:pt idx="5">
                  <c:v>-0.90171712636947632</c:v>
                </c:pt>
                <c:pt idx="6">
                  <c:v>-0.80081409215927124</c:v>
                </c:pt>
                <c:pt idx="7">
                  <c:v>-0.83620917797088623</c:v>
                </c:pt>
                <c:pt idx="8">
                  <c:v>-0.58018511533737183</c:v>
                </c:pt>
                <c:pt idx="9">
                  <c:v>-1.072059154510498</c:v>
                </c:pt>
                <c:pt idx="10">
                  <c:v>-0.47095069289207458</c:v>
                </c:pt>
                <c:pt idx="11">
                  <c:v>-0.58246773481369019</c:v>
                </c:pt>
                <c:pt idx="12">
                  <c:v>-1.1780277490615845</c:v>
                </c:pt>
                <c:pt idx="13">
                  <c:v>-0.65983057022094727</c:v>
                </c:pt>
                <c:pt idx="14">
                  <c:v>-0.4275696873664856</c:v>
                </c:pt>
                <c:pt idx="15">
                  <c:v>-0.35281556844711304</c:v>
                </c:pt>
                <c:pt idx="16">
                  <c:v>-0.29289832711219788</c:v>
                </c:pt>
                <c:pt idx="17">
                  <c:v>-0.48911038041114807</c:v>
                </c:pt>
                <c:pt idx="18">
                  <c:v>-0.40055808424949646</c:v>
                </c:pt>
                <c:pt idx="19">
                  <c:v>-0.51204419136047363</c:v>
                </c:pt>
                <c:pt idx="20">
                  <c:v>-0.93206667900085449</c:v>
                </c:pt>
                <c:pt idx="21">
                  <c:v>-0.85206902027130127</c:v>
                </c:pt>
                <c:pt idx="22">
                  <c:v>-0.45427429676055908</c:v>
                </c:pt>
                <c:pt idx="23">
                  <c:v>-0.57601511478424072</c:v>
                </c:pt>
                <c:pt idx="24">
                  <c:v>-0.60290491580963135</c:v>
                </c:pt>
                <c:pt idx="25">
                  <c:v>-0.52536773681640625</c:v>
                </c:pt>
                <c:pt idx="26">
                  <c:v>-0.65622735023498535</c:v>
                </c:pt>
                <c:pt idx="27">
                  <c:v>-1.2389721870422363</c:v>
                </c:pt>
                <c:pt idx="28">
                  <c:v>-0.85020434856414795</c:v>
                </c:pt>
                <c:pt idx="29">
                  <c:v>-0.84815192222595215</c:v>
                </c:pt>
                <c:pt idx="30">
                  <c:v>-0.52462971210479736</c:v>
                </c:pt>
                <c:pt idx="31">
                  <c:v>-0.71007102727890015</c:v>
                </c:pt>
                <c:pt idx="32">
                  <c:v>-0.62150704860687256</c:v>
                </c:pt>
                <c:pt idx="33">
                  <c:v>-0.56676805019378662</c:v>
                </c:pt>
                <c:pt idx="34">
                  <c:v>-1.2384202480316162</c:v>
                </c:pt>
                <c:pt idx="35">
                  <c:v>-1.7963160276412964</c:v>
                </c:pt>
                <c:pt idx="36">
                  <c:v>-2.8139395713806152</c:v>
                </c:pt>
                <c:pt idx="37">
                  <c:v>-5.4910736083984375</c:v>
                </c:pt>
                <c:pt idx="38">
                  <c:v>-9.0306835174560547</c:v>
                </c:pt>
                <c:pt idx="39">
                  <c:v>-4.9046320915222168</c:v>
                </c:pt>
                <c:pt idx="40">
                  <c:v>-3.046875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B62-873D-5CBA0DD5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268928"/>
        <c:axId val="1698016704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-2.699519966792115E-2</c:v>
                </c:pt>
                <c:pt idx="1">
                  <c:v>-2.9308635925288585E-2</c:v>
                </c:pt>
                <c:pt idx="2">
                  <c:v>-4.7923106053287111E-2</c:v>
                </c:pt>
                <c:pt idx="3">
                  <c:v>9.6412044853520271E-2</c:v>
                </c:pt>
                <c:pt idx="4">
                  <c:v>0.16112810952038539</c:v>
                </c:pt>
                <c:pt idx="5">
                  <c:v>0.12375362974918259</c:v>
                </c:pt>
                <c:pt idx="6">
                  <c:v>0.13331546078886022</c:v>
                </c:pt>
                <c:pt idx="7">
                  <c:v>0.26662584742822992</c:v>
                </c:pt>
                <c:pt idx="8">
                  <c:v>0.36597378874096431</c:v>
                </c:pt>
                <c:pt idx="9">
                  <c:v>0.2122381020933477</c:v>
                </c:pt>
                <c:pt idx="10">
                  <c:v>0.31185016954503042</c:v>
                </c:pt>
                <c:pt idx="11">
                  <c:v>0.10092961243744576</c:v>
                </c:pt>
                <c:pt idx="12">
                  <c:v>0.41914061346454279</c:v>
                </c:pt>
                <c:pt idx="13">
                  <c:v>0.16876952102233597</c:v>
                </c:pt>
                <c:pt idx="14">
                  <c:v>0.34297600857151211</c:v>
                </c:pt>
                <c:pt idx="15">
                  <c:v>0.45261435224042007</c:v>
                </c:pt>
                <c:pt idx="16">
                  <c:v>0.41289320768000437</c:v>
                </c:pt>
                <c:pt idx="17">
                  <c:v>0.39889067623032592</c:v>
                </c:pt>
                <c:pt idx="18">
                  <c:v>0.29841923643851237</c:v>
                </c:pt>
                <c:pt idx="19">
                  <c:v>0.1604922038018633</c:v>
                </c:pt>
                <c:pt idx="20">
                  <c:v>0.15193097604798636</c:v>
                </c:pt>
                <c:pt idx="21">
                  <c:v>0.52712755241570097</c:v>
                </c:pt>
                <c:pt idx="22">
                  <c:v>0.71809567553414588</c:v>
                </c:pt>
                <c:pt idx="23">
                  <c:v>0.37420316425717254</c:v>
                </c:pt>
                <c:pt idx="24">
                  <c:v>0.25117625077359718</c:v>
                </c:pt>
                <c:pt idx="25">
                  <c:v>0.22435323441548627</c:v>
                </c:pt>
                <c:pt idx="26">
                  <c:v>0.4029847659349089</c:v>
                </c:pt>
                <c:pt idx="27">
                  <c:v>5.9422068564818582E-2</c:v>
                </c:pt>
                <c:pt idx="28">
                  <c:v>0.44636959612196192</c:v>
                </c:pt>
                <c:pt idx="29">
                  <c:v>0.37943936690884061</c:v>
                </c:pt>
                <c:pt idx="30">
                  <c:v>0.57361113475557324</c:v>
                </c:pt>
                <c:pt idx="31">
                  <c:v>0.61632431399511234</c:v>
                </c:pt>
                <c:pt idx="32">
                  <c:v>0.54451172718423968</c:v>
                </c:pt>
                <c:pt idx="33">
                  <c:v>0.57611126172704386</c:v>
                </c:pt>
                <c:pt idx="34">
                  <c:v>0.44639020867354595</c:v>
                </c:pt>
                <c:pt idx="35">
                  <c:v>0.30886672947357791</c:v>
                </c:pt>
                <c:pt idx="36">
                  <c:v>-3.2895582084709496E-2</c:v>
                </c:pt>
                <c:pt idx="37">
                  <c:v>-2.2314580110460844</c:v>
                </c:pt>
                <c:pt idx="38">
                  <c:v>-4.6059241374290893</c:v>
                </c:pt>
                <c:pt idx="39">
                  <c:v>-2.7265194858137356</c:v>
                </c:pt>
                <c:pt idx="40">
                  <c:v>-1.3263164533700837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3-4B62-873D-5CBA0DD5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274928"/>
        <c:axId val="1698017536"/>
      </c:lineChart>
      <c:dateAx>
        <c:axId val="1688268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16704"/>
        <c:auto val="1"/>
        <c:lblOffset val="100"/>
        <c:baseTimeUnit val="months"/>
      </c:dateAx>
      <c:valAx>
        <c:axId val="16980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68928"/>
        <c:crossBetween val="between"/>
      </c:valAx>
      <c:valAx>
        <c:axId val="16980175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74928"/>
        <c:crosses val="max"/>
        <c:crossBetween val="between"/>
      </c:valAx>
      <c:dateAx>
        <c:axId val="16882749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9801753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Sheet3!$C$2:$C$42</c:f>
              <c:numCache>
                <c:formatCode>General</c:formatCode>
                <c:ptCount val="41"/>
                <c:pt idx="0">
                  <c:v>-1.3021260865875836E-2</c:v>
                </c:pt>
                <c:pt idx="1">
                  <c:v>4.2014702011245075E-2</c:v>
                </c:pt>
                <c:pt idx="2">
                  <c:v>-4.2944347667534374E-3</c:v>
                </c:pt>
                <c:pt idx="3">
                  <c:v>0.12286029496963519</c:v>
                </c:pt>
                <c:pt idx="4">
                  <c:v>0.16721469350516197</c:v>
                </c:pt>
                <c:pt idx="5">
                  <c:v>0.1339526583396409</c:v>
                </c:pt>
                <c:pt idx="6">
                  <c:v>0.13817243269615664</c:v>
                </c:pt>
                <c:pt idx="7">
                  <c:v>0.25426607310549637</c:v>
                </c:pt>
                <c:pt idx="8">
                  <c:v>0.378559609679196</c:v>
                </c:pt>
                <c:pt idx="9">
                  <c:v>0.22790620753530433</c:v>
                </c:pt>
                <c:pt idx="10">
                  <c:v>0.33169873158764329</c:v>
                </c:pt>
                <c:pt idx="11">
                  <c:v>0.11721868194256212</c:v>
                </c:pt>
                <c:pt idx="12">
                  <c:v>0.39894997183898606</c:v>
                </c:pt>
                <c:pt idx="13">
                  <c:v>0.13537774395311794</c:v>
                </c:pt>
                <c:pt idx="14">
                  <c:v>0.32206517716646066</c:v>
                </c:pt>
                <c:pt idx="15">
                  <c:v>0.42130311944934684</c:v>
                </c:pt>
                <c:pt idx="16">
                  <c:v>0.36677593778496703</c:v>
                </c:pt>
                <c:pt idx="17">
                  <c:v>0.38404157068731415</c:v>
                </c:pt>
                <c:pt idx="18">
                  <c:v>0.28957736690708408</c:v>
                </c:pt>
                <c:pt idx="19">
                  <c:v>0.15974089381020065</c:v>
                </c:pt>
                <c:pt idx="20">
                  <c:v>0.1440250289802727</c:v>
                </c:pt>
                <c:pt idx="21">
                  <c:v>0.49669531899497865</c:v>
                </c:pt>
                <c:pt idx="22">
                  <c:v>0.70505953962983337</c:v>
                </c:pt>
                <c:pt idx="23">
                  <c:v>0.34567348045067758</c:v>
                </c:pt>
                <c:pt idx="24">
                  <c:v>0.26529498391158041</c:v>
                </c:pt>
                <c:pt idx="25">
                  <c:v>0.24311384201303832</c:v>
                </c:pt>
                <c:pt idx="26">
                  <c:v>0.40804784010639578</c:v>
                </c:pt>
                <c:pt idx="27">
                  <c:v>5.8619160674300758E-2</c:v>
                </c:pt>
                <c:pt idx="28">
                  <c:v>0.44911725226710036</c:v>
                </c:pt>
                <c:pt idx="29">
                  <c:v>0.38235152890432472</c:v>
                </c:pt>
                <c:pt idx="30">
                  <c:v>0.55741576125003589</c:v>
                </c:pt>
                <c:pt idx="31">
                  <c:v>0.60499975834458153</c:v>
                </c:pt>
                <c:pt idx="32">
                  <c:v>0.53331360546657725</c:v>
                </c:pt>
                <c:pt idx="33">
                  <c:v>0.54934115922265747</c:v>
                </c:pt>
                <c:pt idx="34">
                  <c:v>0.4481942188454619</c:v>
                </c:pt>
                <c:pt idx="35">
                  <c:v>0.33456055714667982</c:v>
                </c:pt>
                <c:pt idx="36">
                  <c:v>2.3721159306918035E-2</c:v>
                </c:pt>
                <c:pt idx="37">
                  <c:v>-2.1131386495266513</c:v>
                </c:pt>
                <c:pt idx="38">
                  <c:v>-4.5915490687300595</c:v>
                </c:pt>
                <c:pt idx="39">
                  <c:v>-2.8605710810902227</c:v>
                </c:pt>
                <c:pt idx="40">
                  <c:v>-1.3586655675053689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3-471F-8A0A-79A3D2FF97DF}"/>
            </c:ext>
          </c:extLst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-2.699519966792115E-2</c:v>
                </c:pt>
                <c:pt idx="1">
                  <c:v>-2.9308635925288585E-2</c:v>
                </c:pt>
                <c:pt idx="2">
                  <c:v>-4.7923106053287111E-2</c:v>
                </c:pt>
                <c:pt idx="3">
                  <c:v>9.6412044853520271E-2</c:v>
                </c:pt>
                <c:pt idx="4">
                  <c:v>0.16112810952038539</c:v>
                </c:pt>
                <c:pt idx="5">
                  <c:v>0.12375362974918259</c:v>
                </c:pt>
                <c:pt idx="6">
                  <c:v>0.13331546078886022</c:v>
                </c:pt>
                <c:pt idx="7">
                  <c:v>0.26662584742822992</c:v>
                </c:pt>
                <c:pt idx="8">
                  <c:v>0.36597378874096431</c:v>
                </c:pt>
                <c:pt idx="9">
                  <c:v>0.2122381020933477</c:v>
                </c:pt>
                <c:pt idx="10">
                  <c:v>0.31185016954503042</c:v>
                </c:pt>
                <c:pt idx="11">
                  <c:v>0.10092961243744576</c:v>
                </c:pt>
                <c:pt idx="12">
                  <c:v>0.41914061346454279</c:v>
                </c:pt>
                <c:pt idx="13">
                  <c:v>0.16876952102233597</c:v>
                </c:pt>
                <c:pt idx="14">
                  <c:v>0.34297600857151211</c:v>
                </c:pt>
                <c:pt idx="15">
                  <c:v>0.45261435224042007</c:v>
                </c:pt>
                <c:pt idx="16">
                  <c:v>0.41289320768000437</c:v>
                </c:pt>
                <c:pt idx="17">
                  <c:v>0.39889067623032592</c:v>
                </c:pt>
                <c:pt idx="18">
                  <c:v>0.29841923643851237</c:v>
                </c:pt>
                <c:pt idx="19">
                  <c:v>0.1604922038018633</c:v>
                </c:pt>
                <c:pt idx="20">
                  <c:v>0.15193097604798636</c:v>
                </c:pt>
                <c:pt idx="21">
                  <c:v>0.52712755241570097</c:v>
                </c:pt>
                <c:pt idx="22">
                  <c:v>0.71809567553414588</c:v>
                </c:pt>
                <c:pt idx="23">
                  <c:v>0.37420316425717254</c:v>
                </c:pt>
                <c:pt idx="24">
                  <c:v>0.25117625077359718</c:v>
                </c:pt>
                <c:pt idx="25">
                  <c:v>0.22435323441548627</c:v>
                </c:pt>
                <c:pt idx="26">
                  <c:v>0.4029847659349089</c:v>
                </c:pt>
                <c:pt idx="27">
                  <c:v>5.9422068564818582E-2</c:v>
                </c:pt>
                <c:pt idx="28">
                  <c:v>0.44636959612196192</c:v>
                </c:pt>
                <c:pt idx="29">
                  <c:v>0.37943936690884061</c:v>
                </c:pt>
                <c:pt idx="30">
                  <c:v>0.57361113475557324</c:v>
                </c:pt>
                <c:pt idx="31">
                  <c:v>0.61632431399511234</c:v>
                </c:pt>
                <c:pt idx="32">
                  <c:v>0.54451172718423968</c:v>
                </c:pt>
                <c:pt idx="33">
                  <c:v>0.57611126172704386</c:v>
                </c:pt>
                <c:pt idx="34">
                  <c:v>0.44639020867354595</c:v>
                </c:pt>
                <c:pt idx="35">
                  <c:v>0.30886672947357791</c:v>
                </c:pt>
                <c:pt idx="36">
                  <c:v>-3.2895582084709496E-2</c:v>
                </c:pt>
                <c:pt idx="37">
                  <c:v>-2.2314580110460844</c:v>
                </c:pt>
                <c:pt idx="38">
                  <c:v>-4.6059241374290893</c:v>
                </c:pt>
                <c:pt idx="39">
                  <c:v>-2.7265194858137356</c:v>
                </c:pt>
                <c:pt idx="40">
                  <c:v>-1.3263164533700837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3-471F-8A0A-79A3D2FF9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915744"/>
        <c:axId val="1691341168"/>
      </c:lineChart>
      <c:dateAx>
        <c:axId val="1680915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41168"/>
        <c:crosses val="autoZero"/>
        <c:auto val="1"/>
        <c:lblOffset val="100"/>
        <c:baseTimeUnit val="months"/>
      </c:dateAx>
      <c:valAx>
        <c:axId val="16913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91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102393</xdr:colOff>
      <xdr:row>16</xdr:row>
      <xdr:rowOff>0</xdr:rowOff>
    </xdr:from>
    <xdr:to>
      <xdr:col>13</xdr:col>
      <xdr:colOff>140493</xdr:colOff>
      <xdr:row>41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B4D2C-84AF-4C7A-9FF9-01AB5ACE9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1</xdr:row>
      <xdr:rowOff>155799</xdr:rowOff>
    </xdr:from>
    <xdr:to>
      <xdr:col>20</xdr:col>
      <xdr:colOff>394608</xdr:colOff>
      <xdr:row>32</xdr:row>
      <xdr:rowOff>54427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C0611-AD54-4E03-9065-E66864CBD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204106</xdr:colOff>
      <xdr:row>36</xdr:row>
      <xdr:rowOff>20410</xdr:rowOff>
    </xdr:from>
    <xdr:to>
      <xdr:col>17</xdr:col>
      <xdr:colOff>3400</xdr:colOff>
      <xdr:row>55</xdr:row>
      <xdr:rowOff>102052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90647-BA5E-4A31-ADB0-2046A7F22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-890.07114525820293</v>
      </c>
    </row>
    <row r="3" spans="1:2" x14ac:dyDescent="0.45">
      <c r="A3" s="2">
        <v>43497</v>
      </c>
      <c r="B3">
        <v>-892.03263415082779</v>
      </c>
    </row>
    <row r="4" spans="1:2" x14ac:dyDescent="0.45">
      <c r="A4" s="2">
        <v>43525</v>
      </c>
      <c r="B4">
        <v>-907.81525028381566</v>
      </c>
    </row>
    <row r="5" spans="1:2" x14ac:dyDescent="0.45">
      <c r="A5" s="2">
        <v>43556</v>
      </c>
      <c r="B5">
        <v>-785.43807459227469</v>
      </c>
    </row>
    <row r="6" spans="1:2" x14ac:dyDescent="0.45">
      <c r="A6" s="2">
        <v>43586</v>
      </c>
      <c r="B6">
        <v>-730.56738532465738</v>
      </c>
    </row>
    <row r="7" spans="1:2" x14ac:dyDescent="0.45">
      <c r="A7" s="2">
        <v>43617</v>
      </c>
      <c r="B7">
        <v>-762.25601590844065</v>
      </c>
    </row>
    <row r="8" spans="1:2" x14ac:dyDescent="0.45">
      <c r="A8" s="2">
        <v>43647</v>
      </c>
      <c r="B8">
        <v>-754.14884402602797</v>
      </c>
    </row>
    <row r="9" spans="1:2" x14ac:dyDescent="0.45">
      <c r="A9" s="2">
        <v>43678</v>
      </c>
      <c r="B9">
        <v>-641.11921468918729</v>
      </c>
    </row>
    <row r="10" spans="1:2" x14ac:dyDescent="0.45">
      <c r="A10" s="2">
        <v>43709</v>
      </c>
      <c r="B10">
        <v>-556.88526064377686</v>
      </c>
    </row>
    <row r="11" spans="1:2" x14ac:dyDescent="0.45">
      <c r="A11" s="2">
        <v>43739</v>
      </c>
      <c r="B11">
        <v>-687.23285107296135</v>
      </c>
    </row>
    <row r="12" spans="1:2" x14ac:dyDescent="0.45">
      <c r="A12" s="2">
        <v>43770</v>
      </c>
      <c r="B12">
        <v>-602.77495288984267</v>
      </c>
    </row>
    <row r="13" spans="1:2" x14ac:dyDescent="0.45">
      <c r="A13" s="2">
        <v>43800</v>
      </c>
      <c r="B13">
        <v>-781.60777297521804</v>
      </c>
    </row>
    <row r="14" spans="1:2" x14ac:dyDescent="0.45">
      <c r="A14" s="2">
        <v>43831</v>
      </c>
      <c r="B14">
        <v>-511.80680394572892</v>
      </c>
    </row>
    <row r="15" spans="1:2" x14ac:dyDescent="0.45">
      <c r="A15" s="2">
        <v>43862</v>
      </c>
      <c r="B15">
        <v>-724.08847598046475</v>
      </c>
    </row>
    <row r="16" spans="1:2" x14ac:dyDescent="0.45">
      <c r="A16" s="2">
        <v>43891</v>
      </c>
      <c r="B16">
        <v>-576.38434570123218</v>
      </c>
    </row>
    <row r="17" spans="1:2" x14ac:dyDescent="0.45">
      <c r="A17" s="2">
        <v>43922</v>
      </c>
      <c r="B17">
        <v>-483.4254873676681</v>
      </c>
    </row>
    <row r="18" spans="1:2" x14ac:dyDescent="0.45">
      <c r="A18" s="2">
        <v>43952</v>
      </c>
      <c r="B18">
        <v>-517.10378025751072</v>
      </c>
    </row>
    <row r="19" spans="1:2" x14ac:dyDescent="0.45">
      <c r="A19" s="2">
        <v>43983</v>
      </c>
      <c r="B19">
        <v>-528.97608052932765</v>
      </c>
    </row>
    <row r="20" spans="1:2" x14ac:dyDescent="0.45">
      <c r="A20" s="2">
        <v>44013</v>
      </c>
      <c r="B20">
        <v>-614.16261313858513</v>
      </c>
    </row>
    <row r="21" spans="1:2" x14ac:dyDescent="0.45">
      <c r="A21" s="2">
        <v>44044</v>
      </c>
      <c r="B21">
        <v>-731.10654952235916</v>
      </c>
    </row>
    <row r="22" spans="1:2" x14ac:dyDescent="0.45">
      <c r="A22" s="2">
        <v>44075</v>
      </c>
      <c r="B22">
        <v>-738.36534175965664</v>
      </c>
    </row>
    <row r="23" spans="1:2" x14ac:dyDescent="0.45">
      <c r="A23" s="2">
        <v>44105</v>
      </c>
      <c r="B23">
        <v>-420.24811905579389</v>
      </c>
    </row>
    <row r="24" spans="1:2" x14ac:dyDescent="0.45">
      <c r="A24" s="2">
        <v>44136</v>
      </c>
      <c r="B24">
        <v>-258.33233203147353</v>
      </c>
    </row>
    <row r="25" spans="1:2" x14ac:dyDescent="0.45">
      <c r="A25" s="2">
        <v>44166</v>
      </c>
      <c r="B25">
        <v>-549.90783534542436</v>
      </c>
    </row>
    <row r="26" spans="1:2" x14ac:dyDescent="0.45">
      <c r="A26" s="2">
        <v>44197</v>
      </c>
      <c r="B26">
        <v>-654.21843544233695</v>
      </c>
    </row>
    <row r="27" spans="1:2" x14ac:dyDescent="0.45">
      <c r="A27" s="2">
        <v>44228</v>
      </c>
      <c r="B27">
        <v>-676.96081638565295</v>
      </c>
    </row>
    <row r="28" spans="1:2" x14ac:dyDescent="0.45">
      <c r="A28" s="2">
        <v>44256</v>
      </c>
      <c r="B28">
        <v>-525.5048323134431</v>
      </c>
    </row>
    <row r="29" spans="1:2" x14ac:dyDescent="0.45">
      <c r="A29" s="2">
        <v>44287</v>
      </c>
      <c r="B29">
        <v>-816.80069692417737</v>
      </c>
    </row>
    <row r="30" spans="1:2" x14ac:dyDescent="0.45">
      <c r="A30" s="2">
        <v>44317</v>
      </c>
      <c r="B30">
        <v>-488.7202171120033</v>
      </c>
    </row>
    <row r="31" spans="1:2" x14ac:dyDescent="0.45">
      <c r="A31" s="2">
        <v>44348</v>
      </c>
      <c r="B31">
        <v>-545.46822595135905</v>
      </c>
    </row>
    <row r="32" spans="1:2" x14ac:dyDescent="0.45">
      <c r="A32" s="2">
        <v>44378</v>
      </c>
      <c r="B32">
        <v>-380.83617063547001</v>
      </c>
    </row>
    <row r="33" spans="1:2" x14ac:dyDescent="0.45">
      <c r="A33" s="2">
        <v>44409</v>
      </c>
      <c r="B33">
        <v>-344.62102687249057</v>
      </c>
    </row>
    <row r="34" spans="1:2" x14ac:dyDescent="0.45">
      <c r="A34" s="2">
        <v>44440</v>
      </c>
      <c r="B34">
        <v>-405.50863115879832</v>
      </c>
    </row>
    <row r="35" spans="1:2" x14ac:dyDescent="0.45">
      <c r="A35" s="2">
        <v>44470</v>
      </c>
      <c r="B35">
        <v>-378.71639263463942</v>
      </c>
    </row>
    <row r="36" spans="1:2" x14ac:dyDescent="0.45">
      <c r="A36" s="2">
        <v>44501</v>
      </c>
      <c r="B36">
        <v>-488.70274038626599</v>
      </c>
    </row>
    <row r="37" spans="1:2" x14ac:dyDescent="0.45">
      <c r="A37" s="2">
        <v>44531</v>
      </c>
      <c r="B37">
        <v>-605.30451666897409</v>
      </c>
    </row>
    <row r="38" spans="1:2" x14ac:dyDescent="0.45">
      <c r="A38" s="2">
        <v>44562</v>
      </c>
      <c r="B38">
        <v>-895.07389151322161</v>
      </c>
    </row>
    <row r="39" spans="1:2" x14ac:dyDescent="0.45">
      <c r="A39" s="2">
        <v>44593</v>
      </c>
      <c r="B39">
        <v>-2759.1649251072959</v>
      </c>
    </row>
    <row r="40" spans="1:2" x14ac:dyDescent="0.45">
      <c r="A40" s="2">
        <v>44621</v>
      </c>
      <c r="B40">
        <v>-4772.3990991554756</v>
      </c>
    </row>
    <row r="41" spans="1:2" x14ac:dyDescent="0.45">
      <c r="A41" s="2">
        <v>44652</v>
      </c>
      <c r="B41">
        <v>-3178.9117760658091</v>
      </c>
    </row>
    <row r="42" spans="1:2" x14ac:dyDescent="0.45">
      <c r="A42" s="2">
        <v>44682</v>
      </c>
      <c r="B42">
        <v>-1991.724237696709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8B56-A14E-4BBD-BC43-E3F27EE7664C}">
  <dimension ref="A1:F42"/>
  <sheetViews>
    <sheetView topLeftCell="A10" workbookViewId="0">
      <selection sqref="A1:A42"/>
    </sheetView>
  </sheetViews>
  <sheetFormatPr defaultRowHeight="14.25" x14ac:dyDescent="0.45"/>
  <sheetData>
    <row r="1" spans="1:6" x14ac:dyDescent="0.45">
      <c r="A1" t="s">
        <v>1</v>
      </c>
      <c r="B1" t="s">
        <v>2</v>
      </c>
      <c r="C1" s="1" t="s">
        <v>0</v>
      </c>
      <c r="D1" s="1" t="s">
        <v>3</v>
      </c>
    </row>
    <row r="2" spans="1:6" x14ac:dyDescent="0.45">
      <c r="A2" s="2">
        <v>43466</v>
      </c>
      <c r="B2" s="3">
        <v>0.99872505664825439</v>
      </c>
      <c r="C2">
        <v>-2357.0626331178369</v>
      </c>
      <c r="D2">
        <v>-890.07114525820293</v>
      </c>
      <c r="F2">
        <f>CORREL(B2:B42,D2:D42)</f>
        <v>-0.96109794137585125</v>
      </c>
    </row>
    <row r="3" spans="1:6" x14ac:dyDescent="0.45">
      <c r="A3" s="2">
        <v>43497</v>
      </c>
      <c r="B3" s="3">
        <v>1.0575016736984253</v>
      </c>
      <c r="C3">
        <v>-2232.6716382298209</v>
      </c>
      <c r="D3">
        <v>-892.03263415082779</v>
      </c>
    </row>
    <row r="4" spans="1:6" x14ac:dyDescent="0.45">
      <c r="A4" s="2">
        <v>43525</v>
      </c>
      <c r="B4" s="3">
        <v>0.56311005353927612</v>
      </c>
      <c r="C4">
        <v>-2337.3384650659718</v>
      </c>
      <c r="D4">
        <v>-907.81525028381566</v>
      </c>
    </row>
    <row r="5" spans="1:6" x14ac:dyDescent="0.45">
      <c r="A5" s="2">
        <v>43556</v>
      </c>
      <c r="B5" s="3">
        <v>0.80580174922943115</v>
      </c>
      <c r="C5">
        <v>-2049.946321642577</v>
      </c>
      <c r="D5">
        <v>-785.43807459227469</v>
      </c>
    </row>
    <row r="6" spans="1:6" x14ac:dyDescent="0.45">
      <c r="A6" s="2">
        <v>43586</v>
      </c>
      <c r="B6" s="3">
        <v>0.97137451171875</v>
      </c>
      <c r="C6">
        <v>-1949.6975484211071</v>
      </c>
      <c r="D6">
        <v>-730.56738532465738</v>
      </c>
    </row>
    <row r="7" spans="1:6" x14ac:dyDescent="0.45">
      <c r="A7" s="2">
        <v>43617</v>
      </c>
      <c r="B7" s="3">
        <v>0.90171712636947632</v>
      </c>
      <c r="C7">
        <v>-2024.8756216289321</v>
      </c>
      <c r="D7">
        <v>-762.25601590844065</v>
      </c>
    </row>
    <row r="8" spans="1:6" x14ac:dyDescent="0.45">
      <c r="A8" s="2">
        <v>43647</v>
      </c>
      <c r="B8" s="3">
        <v>0.80081409215927124</v>
      </c>
      <c r="C8">
        <v>-2015.3381864144001</v>
      </c>
      <c r="D8">
        <v>-754.14884402602797</v>
      </c>
    </row>
    <row r="9" spans="1:6" x14ac:dyDescent="0.45">
      <c r="A9" s="2">
        <v>43678</v>
      </c>
      <c r="B9" s="3">
        <v>0.83620917797088623</v>
      </c>
      <c r="C9">
        <v>-1752.946058144893</v>
      </c>
      <c r="D9">
        <v>-641.11921468918729</v>
      </c>
    </row>
    <row r="10" spans="1:6" x14ac:dyDescent="0.45">
      <c r="A10" s="2">
        <v>43709</v>
      </c>
      <c r="B10" s="3">
        <v>0.58018511533737183</v>
      </c>
      <c r="C10">
        <v>-1472.0207165264981</v>
      </c>
      <c r="D10">
        <v>-556.88526064377686</v>
      </c>
    </row>
    <row r="11" spans="1:6" x14ac:dyDescent="0.45">
      <c r="A11" s="2">
        <v>43739</v>
      </c>
      <c r="B11" s="3">
        <v>1.072059154510498</v>
      </c>
      <c r="C11">
        <v>-1812.524009215022</v>
      </c>
      <c r="D11">
        <v>-687.23285107296135</v>
      </c>
    </row>
    <row r="12" spans="1:6" x14ac:dyDescent="0.45">
      <c r="A12" s="2">
        <v>43770</v>
      </c>
      <c r="B12" s="3">
        <v>0.47095069289207458</v>
      </c>
      <c r="C12">
        <v>-1577.93457616313</v>
      </c>
      <c r="D12">
        <v>-602.77495288984267</v>
      </c>
    </row>
    <row r="13" spans="1:6" x14ac:dyDescent="0.45">
      <c r="A13" s="2">
        <v>43800</v>
      </c>
      <c r="B13" s="3">
        <v>0.58246773481369019</v>
      </c>
      <c r="C13">
        <v>-2062.6973633346729</v>
      </c>
      <c r="D13">
        <v>-781.60777297521804</v>
      </c>
    </row>
    <row r="14" spans="1:6" x14ac:dyDescent="0.45">
      <c r="A14" s="2">
        <v>43831</v>
      </c>
      <c r="B14" s="3">
        <v>1.1780277490615845</v>
      </c>
      <c r="C14">
        <v>-1425.9348973168619</v>
      </c>
      <c r="D14">
        <v>-511.80680394572892</v>
      </c>
    </row>
    <row r="15" spans="1:6" x14ac:dyDescent="0.45">
      <c r="A15" s="2">
        <v>43862</v>
      </c>
      <c r="B15" s="3">
        <v>0.65983057022094727</v>
      </c>
      <c r="C15">
        <v>-2021.6546764869929</v>
      </c>
      <c r="D15">
        <v>-724.08847598046475</v>
      </c>
    </row>
    <row r="16" spans="1:6" x14ac:dyDescent="0.45">
      <c r="A16" s="2">
        <v>43891</v>
      </c>
      <c r="B16" s="3">
        <v>0.4275696873664856</v>
      </c>
      <c r="C16">
        <v>-1599.708110341759</v>
      </c>
      <c r="D16">
        <v>-576.38434570123218</v>
      </c>
    </row>
    <row r="17" spans="1:4" x14ac:dyDescent="0.45">
      <c r="A17" s="2">
        <v>43922</v>
      </c>
      <c r="B17" s="3">
        <v>0.35281556844711304</v>
      </c>
      <c r="C17">
        <v>-1375.4128363811869</v>
      </c>
      <c r="D17">
        <v>-483.4254873676681</v>
      </c>
    </row>
    <row r="18" spans="1:4" x14ac:dyDescent="0.45">
      <c r="A18" s="2">
        <v>43952</v>
      </c>
      <c r="B18" s="3">
        <v>0.29289832711219788</v>
      </c>
      <c r="C18">
        <v>-1498.6538958828719</v>
      </c>
      <c r="D18">
        <v>-517.10378025751072</v>
      </c>
    </row>
    <row r="19" spans="1:4" x14ac:dyDescent="0.45">
      <c r="A19" s="2">
        <v>43983</v>
      </c>
      <c r="B19" s="3">
        <v>0.48911038041114807</v>
      </c>
      <c r="C19">
        <v>-1459.630516590147</v>
      </c>
      <c r="D19">
        <v>-528.97608052932765</v>
      </c>
    </row>
    <row r="20" spans="1:4" x14ac:dyDescent="0.45">
      <c r="A20" s="2">
        <v>44013</v>
      </c>
      <c r="B20" s="3">
        <v>0.40055808424949646</v>
      </c>
      <c r="C20">
        <v>-1673.1362985415319</v>
      </c>
      <c r="D20">
        <v>-614.16261313858513</v>
      </c>
    </row>
    <row r="21" spans="1:4" x14ac:dyDescent="0.45">
      <c r="A21" s="2">
        <v>44044</v>
      </c>
      <c r="B21" s="3">
        <v>0.51204419136047363</v>
      </c>
      <c r="C21">
        <v>-1966.589655527976</v>
      </c>
      <c r="D21">
        <v>-731.10654952235916</v>
      </c>
    </row>
    <row r="22" spans="1:4" x14ac:dyDescent="0.45">
      <c r="A22" s="2">
        <v>44075</v>
      </c>
      <c r="B22" s="3">
        <v>0.93206667900085449</v>
      </c>
      <c r="C22">
        <v>-2002.110285303911</v>
      </c>
      <c r="D22">
        <v>-738.36534175965664</v>
      </c>
    </row>
    <row r="23" spans="1:4" x14ac:dyDescent="0.45">
      <c r="A23" s="2">
        <v>44105</v>
      </c>
      <c r="B23" s="3">
        <v>0.85206902027130127</v>
      </c>
      <c r="C23">
        <v>-1205.013151920037</v>
      </c>
      <c r="D23">
        <v>-420.24811905579389</v>
      </c>
    </row>
    <row r="24" spans="1:4" x14ac:dyDescent="0.45">
      <c r="A24" s="2">
        <v>44136</v>
      </c>
      <c r="B24" s="3">
        <v>0.45427429676055908</v>
      </c>
      <c r="C24">
        <v>-734.07321830418834</v>
      </c>
      <c r="D24">
        <v>-258.33233203147353</v>
      </c>
    </row>
    <row r="25" spans="1:4" x14ac:dyDescent="0.45">
      <c r="A25" s="2">
        <v>44166</v>
      </c>
      <c r="B25" s="3">
        <v>0.57601511478424072</v>
      </c>
      <c r="C25">
        <v>-1546.34917593557</v>
      </c>
      <c r="D25">
        <v>-549.90783534542436</v>
      </c>
    </row>
    <row r="26" spans="1:4" x14ac:dyDescent="0.45">
      <c r="A26" s="2">
        <v>44197</v>
      </c>
      <c r="B26" s="3">
        <v>0.60290491580963135</v>
      </c>
      <c r="C26">
        <v>-1728.0187721307821</v>
      </c>
      <c r="D26">
        <v>-654.21843544233695</v>
      </c>
    </row>
    <row r="27" spans="1:4" x14ac:dyDescent="0.45">
      <c r="A27" s="2">
        <v>44228</v>
      </c>
      <c r="B27" s="3">
        <v>0.52536773681640625</v>
      </c>
      <c r="C27">
        <v>-1778.152069783305</v>
      </c>
      <c r="D27">
        <v>-676.96081638565295</v>
      </c>
    </row>
    <row r="28" spans="1:4" x14ac:dyDescent="0.45">
      <c r="A28" s="2">
        <v>44256</v>
      </c>
      <c r="B28" s="3">
        <v>0.65622735023498535</v>
      </c>
      <c r="C28">
        <v>-1405.3721084424319</v>
      </c>
      <c r="D28">
        <v>-525.5048323134431</v>
      </c>
    </row>
    <row r="29" spans="1:4" x14ac:dyDescent="0.45">
      <c r="A29" s="2">
        <v>44287</v>
      </c>
      <c r="B29" s="3">
        <v>1.2389721870422363</v>
      </c>
      <c r="C29">
        <v>-2195.1426294744738</v>
      </c>
      <c r="D29">
        <v>-816.80069692417737</v>
      </c>
    </row>
    <row r="30" spans="1:4" x14ac:dyDescent="0.45">
      <c r="A30" s="2">
        <v>44317</v>
      </c>
      <c r="B30" s="3">
        <v>0.85020434856414795</v>
      </c>
      <c r="C30">
        <v>-1312.5479845229111</v>
      </c>
      <c r="D30">
        <v>-488.7202171120033</v>
      </c>
    </row>
    <row r="31" spans="1:4" x14ac:dyDescent="0.45">
      <c r="A31" s="2">
        <v>44348</v>
      </c>
      <c r="B31" s="3">
        <v>0.84815192222595215</v>
      </c>
      <c r="C31">
        <v>-1463.4503094637221</v>
      </c>
      <c r="D31">
        <v>-545.46822595135905</v>
      </c>
    </row>
    <row r="32" spans="1:4" x14ac:dyDescent="0.45">
      <c r="A32" s="2">
        <v>44378</v>
      </c>
      <c r="B32" s="3">
        <v>0.52462971210479736</v>
      </c>
      <c r="C32">
        <v>-1067.774229817217</v>
      </c>
      <c r="D32">
        <v>-380.83617063547001</v>
      </c>
    </row>
    <row r="33" spans="1:4" x14ac:dyDescent="0.45">
      <c r="A33" s="2">
        <v>44409</v>
      </c>
      <c r="B33" s="3">
        <v>0.71007102727890015</v>
      </c>
      <c r="C33">
        <v>-960.22599353843282</v>
      </c>
      <c r="D33">
        <v>-344.62102687249057</v>
      </c>
    </row>
    <row r="34" spans="1:4" x14ac:dyDescent="0.45">
      <c r="A34" s="2">
        <v>44440</v>
      </c>
      <c r="B34" s="3">
        <v>0.62150704860687256</v>
      </c>
      <c r="C34">
        <v>-1122.249358080971</v>
      </c>
      <c r="D34">
        <v>-405.50863115879832</v>
      </c>
    </row>
    <row r="35" spans="1:4" x14ac:dyDescent="0.45">
      <c r="A35" s="2">
        <v>44470</v>
      </c>
      <c r="B35" s="3">
        <v>0.56676805019378662</v>
      </c>
      <c r="C35">
        <v>-1086.0242562908691</v>
      </c>
      <c r="D35">
        <v>-378.71639263463942</v>
      </c>
    </row>
    <row r="36" spans="1:4" x14ac:dyDescent="0.45">
      <c r="A36" s="2">
        <v>44501</v>
      </c>
      <c r="B36" s="3">
        <v>1.2384202480316162</v>
      </c>
      <c r="C36">
        <v>-1314.634203054035</v>
      </c>
      <c r="D36">
        <v>-488.70274038626599</v>
      </c>
    </row>
    <row r="37" spans="1:4" x14ac:dyDescent="0.45">
      <c r="A37" s="2">
        <v>44531</v>
      </c>
      <c r="B37" s="3">
        <v>1.7963160276412964</v>
      </c>
      <c r="C37">
        <v>-1571.46634503071</v>
      </c>
      <c r="D37">
        <v>-605.30451666897409</v>
      </c>
    </row>
    <row r="38" spans="1:4" x14ac:dyDescent="0.45">
      <c r="A38" s="2">
        <v>44562</v>
      </c>
      <c r="B38" s="3">
        <v>2.8139395713806152</v>
      </c>
      <c r="C38">
        <v>-2274.018275193333</v>
      </c>
      <c r="D38">
        <v>-895.07389151322161</v>
      </c>
    </row>
    <row r="39" spans="1:4" x14ac:dyDescent="0.45">
      <c r="A39" s="2">
        <v>44593</v>
      </c>
      <c r="B39" s="3">
        <v>5.4910736083984375</v>
      </c>
      <c r="C39">
        <v>-7103.6987906499262</v>
      </c>
      <c r="D39">
        <v>-2759.1649251072959</v>
      </c>
    </row>
    <row r="40" spans="1:4" x14ac:dyDescent="0.45">
      <c r="A40" s="2">
        <v>44621</v>
      </c>
      <c r="B40" s="3">
        <v>9.0306835174560547</v>
      </c>
      <c r="C40">
        <v>-12705.343999871789</v>
      </c>
      <c r="D40">
        <v>-4772.3990991554756</v>
      </c>
    </row>
    <row r="41" spans="1:4" x14ac:dyDescent="0.45">
      <c r="A41" s="2">
        <v>44652</v>
      </c>
      <c r="B41" s="3">
        <v>4.9046320915222168</v>
      </c>
      <c r="C41">
        <v>-8793.0280748734949</v>
      </c>
      <c r="D41">
        <v>-3178.9117760658091</v>
      </c>
    </row>
    <row r="42" spans="1:4" x14ac:dyDescent="0.45">
      <c r="A42" s="2">
        <v>44682</v>
      </c>
      <c r="B42" s="3">
        <v>3.046875</v>
      </c>
      <c r="C42">
        <v>-5398.456393085381</v>
      </c>
      <c r="D42">
        <v>-1991.724237696709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7CE9-3437-4D49-844B-ED84A1FCD33F}">
  <dimension ref="A1:F42"/>
  <sheetViews>
    <sheetView tabSelected="1" zoomScale="70" zoomScaleNormal="70" workbookViewId="0">
      <selection activeCell="G5" sqref="G5"/>
    </sheetView>
  </sheetViews>
  <sheetFormatPr defaultRowHeight="14.25" x14ac:dyDescent="0.45"/>
  <sheetData>
    <row r="1" spans="1:6" x14ac:dyDescent="0.45">
      <c r="A1" t="s">
        <v>1</v>
      </c>
      <c r="B1" t="s">
        <v>4</v>
      </c>
      <c r="C1" t="s">
        <v>5</v>
      </c>
      <c r="D1" t="s">
        <v>6</v>
      </c>
    </row>
    <row r="2" spans="1:6" x14ac:dyDescent="0.45">
      <c r="A2" s="2">
        <v>43466</v>
      </c>
      <c r="B2" s="3">
        <f>-Sheet2!B2</f>
        <v>-0.99872505664825439</v>
      </c>
      <c r="C2">
        <f>STANDARDIZE(Sheet2!C2,AVERAGE(Sheet2!C$2:C$42),STDEV(Sheet2!C$2:C$42))</f>
        <v>-1.3021260865875836E-2</v>
      </c>
      <c r="D2">
        <f>STANDARDIZE(Sheet2!D2,AVERAGE(Sheet2!D$2:D$42),STDEV(Sheet2!D$2:D$42))</f>
        <v>-2.699519966792115E-2</v>
      </c>
      <c r="F2">
        <f>CORREL(B2:B42,D2:D42)</f>
        <v>0.96109794137585125</v>
      </c>
    </row>
    <row r="3" spans="1:6" x14ac:dyDescent="0.45">
      <c r="A3" s="2">
        <v>43497</v>
      </c>
      <c r="B3" s="3">
        <f>-Sheet2!B3</f>
        <v>-1.0575016736984253</v>
      </c>
      <c r="C3">
        <f>STANDARDIZE(Sheet2!C3,AVERAGE(Sheet2!C$2:C$42),STDEV(Sheet2!C$2:C$42))</f>
        <v>4.2014702011245075E-2</v>
      </c>
      <c r="D3">
        <f>STANDARDIZE(Sheet2!D3,AVERAGE(Sheet2!D$2:D$42),STDEV(Sheet2!D$2:D$42))</f>
        <v>-2.9308635925288585E-2</v>
      </c>
    </row>
    <row r="4" spans="1:6" x14ac:dyDescent="0.45">
      <c r="A4" s="2">
        <v>43525</v>
      </c>
      <c r="B4" s="3">
        <f>-Sheet2!B4</f>
        <v>-0.56311005353927612</v>
      </c>
      <c r="C4">
        <f>STANDARDIZE(Sheet2!C4,AVERAGE(Sheet2!C$2:C$42),STDEV(Sheet2!C$2:C$42))</f>
        <v>-4.2944347667534374E-3</v>
      </c>
      <c r="D4">
        <f>STANDARDIZE(Sheet2!D4,AVERAGE(Sheet2!D$2:D$42),STDEV(Sheet2!D$2:D$42))</f>
        <v>-4.7923106053287111E-2</v>
      </c>
    </row>
    <row r="5" spans="1:6" x14ac:dyDescent="0.45">
      <c r="A5" s="2">
        <v>43556</v>
      </c>
      <c r="B5" s="3">
        <f>-Sheet2!B5</f>
        <v>-0.80580174922943115</v>
      </c>
      <c r="C5">
        <f>STANDARDIZE(Sheet2!C5,AVERAGE(Sheet2!C$2:C$42),STDEV(Sheet2!C$2:C$42))</f>
        <v>0.12286029496963519</v>
      </c>
      <c r="D5">
        <f>STANDARDIZE(Sheet2!D5,AVERAGE(Sheet2!D$2:D$42),STDEV(Sheet2!D$2:D$42))</f>
        <v>9.6412044853520271E-2</v>
      </c>
    </row>
    <row r="6" spans="1:6" x14ac:dyDescent="0.45">
      <c r="A6" s="2">
        <v>43586</v>
      </c>
      <c r="B6" s="3">
        <f>-Sheet2!B6</f>
        <v>-0.97137451171875</v>
      </c>
      <c r="C6">
        <f>STANDARDIZE(Sheet2!C6,AVERAGE(Sheet2!C$2:C$42),STDEV(Sheet2!C$2:C$42))</f>
        <v>0.16721469350516197</v>
      </c>
      <c r="D6">
        <f>STANDARDIZE(Sheet2!D6,AVERAGE(Sheet2!D$2:D$42),STDEV(Sheet2!D$2:D$42))</f>
        <v>0.16112810952038539</v>
      </c>
    </row>
    <row r="7" spans="1:6" x14ac:dyDescent="0.45">
      <c r="A7" s="2">
        <v>43617</v>
      </c>
      <c r="B7" s="3">
        <f>-Sheet2!B7</f>
        <v>-0.90171712636947632</v>
      </c>
      <c r="C7">
        <f>STANDARDIZE(Sheet2!C7,AVERAGE(Sheet2!C$2:C$42),STDEV(Sheet2!C$2:C$42))</f>
        <v>0.1339526583396409</v>
      </c>
      <c r="D7">
        <f>STANDARDIZE(Sheet2!D7,AVERAGE(Sheet2!D$2:D$42),STDEV(Sheet2!D$2:D$42))</f>
        <v>0.12375362974918259</v>
      </c>
    </row>
    <row r="8" spans="1:6" x14ac:dyDescent="0.45">
      <c r="A8" s="2">
        <v>43647</v>
      </c>
      <c r="B8" s="3">
        <f>-Sheet2!B8</f>
        <v>-0.80081409215927124</v>
      </c>
      <c r="C8">
        <f>STANDARDIZE(Sheet2!C8,AVERAGE(Sheet2!C$2:C$42),STDEV(Sheet2!C$2:C$42))</f>
        <v>0.13817243269615664</v>
      </c>
      <c r="D8">
        <f>STANDARDIZE(Sheet2!D8,AVERAGE(Sheet2!D$2:D$42),STDEV(Sheet2!D$2:D$42))</f>
        <v>0.13331546078886022</v>
      </c>
    </row>
    <row r="9" spans="1:6" x14ac:dyDescent="0.45">
      <c r="A9" s="2">
        <v>43678</v>
      </c>
      <c r="B9" s="3">
        <f>-Sheet2!B9</f>
        <v>-0.83620917797088623</v>
      </c>
      <c r="C9">
        <f>STANDARDIZE(Sheet2!C9,AVERAGE(Sheet2!C$2:C$42),STDEV(Sheet2!C$2:C$42))</f>
        <v>0.25426607310549637</v>
      </c>
      <c r="D9">
        <f>STANDARDIZE(Sheet2!D9,AVERAGE(Sheet2!D$2:D$42),STDEV(Sheet2!D$2:D$42))</f>
        <v>0.26662584742822992</v>
      </c>
    </row>
    <row r="10" spans="1:6" x14ac:dyDescent="0.45">
      <c r="A10" s="2">
        <v>43709</v>
      </c>
      <c r="B10" s="3">
        <f>-Sheet2!B10</f>
        <v>-0.58018511533737183</v>
      </c>
      <c r="C10">
        <f>STANDARDIZE(Sheet2!C10,AVERAGE(Sheet2!C$2:C$42),STDEV(Sheet2!C$2:C$42))</f>
        <v>0.378559609679196</v>
      </c>
      <c r="D10">
        <f>STANDARDIZE(Sheet2!D10,AVERAGE(Sheet2!D$2:D$42),STDEV(Sheet2!D$2:D$42))</f>
        <v>0.36597378874096431</v>
      </c>
    </row>
    <row r="11" spans="1:6" x14ac:dyDescent="0.45">
      <c r="A11" s="2">
        <v>43739</v>
      </c>
      <c r="B11" s="3">
        <f>-Sheet2!B11</f>
        <v>-1.072059154510498</v>
      </c>
      <c r="C11">
        <f>STANDARDIZE(Sheet2!C11,AVERAGE(Sheet2!C$2:C$42),STDEV(Sheet2!C$2:C$42))</f>
        <v>0.22790620753530433</v>
      </c>
      <c r="D11">
        <f>STANDARDIZE(Sheet2!D11,AVERAGE(Sheet2!D$2:D$42),STDEV(Sheet2!D$2:D$42))</f>
        <v>0.2122381020933477</v>
      </c>
    </row>
    <row r="12" spans="1:6" x14ac:dyDescent="0.45">
      <c r="A12" s="2">
        <v>43770</v>
      </c>
      <c r="B12" s="3">
        <f>-Sheet2!B12</f>
        <v>-0.47095069289207458</v>
      </c>
      <c r="C12">
        <f>STANDARDIZE(Sheet2!C12,AVERAGE(Sheet2!C$2:C$42),STDEV(Sheet2!C$2:C$42))</f>
        <v>0.33169873158764329</v>
      </c>
      <c r="D12">
        <f>STANDARDIZE(Sheet2!D12,AVERAGE(Sheet2!D$2:D$42),STDEV(Sheet2!D$2:D$42))</f>
        <v>0.31185016954503042</v>
      </c>
    </row>
    <row r="13" spans="1:6" x14ac:dyDescent="0.45">
      <c r="A13" s="2">
        <v>43800</v>
      </c>
      <c r="B13" s="3">
        <f>-Sheet2!B13</f>
        <v>-0.58246773481369019</v>
      </c>
      <c r="C13">
        <f>STANDARDIZE(Sheet2!C13,AVERAGE(Sheet2!C$2:C$42),STDEV(Sheet2!C$2:C$42))</f>
        <v>0.11721868194256212</v>
      </c>
      <c r="D13">
        <f>STANDARDIZE(Sheet2!D13,AVERAGE(Sheet2!D$2:D$42),STDEV(Sheet2!D$2:D$42))</f>
        <v>0.10092961243744576</v>
      </c>
    </row>
    <row r="14" spans="1:6" x14ac:dyDescent="0.45">
      <c r="A14" s="2">
        <v>43831</v>
      </c>
      <c r="B14" s="3">
        <f>-Sheet2!B14</f>
        <v>-1.1780277490615845</v>
      </c>
      <c r="C14">
        <f>STANDARDIZE(Sheet2!C14,AVERAGE(Sheet2!C$2:C$42),STDEV(Sheet2!C$2:C$42))</f>
        <v>0.39894997183898606</v>
      </c>
      <c r="D14">
        <f>STANDARDIZE(Sheet2!D14,AVERAGE(Sheet2!D$2:D$42),STDEV(Sheet2!D$2:D$42))</f>
        <v>0.41914061346454279</v>
      </c>
    </row>
    <row r="15" spans="1:6" x14ac:dyDescent="0.45">
      <c r="A15" s="2">
        <v>43862</v>
      </c>
      <c r="B15" s="3">
        <f>-Sheet2!B15</f>
        <v>-0.65983057022094727</v>
      </c>
      <c r="C15">
        <f>STANDARDIZE(Sheet2!C15,AVERAGE(Sheet2!C$2:C$42),STDEV(Sheet2!C$2:C$42))</f>
        <v>0.13537774395311794</v>
      </c>
      <c r="D15">
        <f>STANDARDIZE(Sheet2!D15,AVERAGE(Sheet2!D$2:D$42),STDEV(Sheet2!D$2:D$42))</f>
        <v>0.16876952102233597</v>
      </c>
    </row>
    <row r="16" spans="1:6" x14ac:dyDescent="0.45">
      <c r="A16" s="2">
        <v>43891</v>
      </c>
      <c r="B16" s="3">
        <f>-Sheet2!B16</f>
        <v>-0.4275696873664856</v>
      </c>
      <c r="C16">
        <f>STANDARDIZE(Sheet2!C16,AVERAGE(Sheet2!C$2:C$42),STDEV(Sheet2!C$2:C$42))</f>
        <v>0.32206517716646066</v>
      </c>
      <c r="D16">
        <f>STANDARDIZE(Sheet2!D16,AVERAGE(Sheet2!D$2:D$42),STDEV(Sheet2!D$2:D$42))</f>
        <v>0.34297600857151211</v>
      </c>
    </row>
    <row r="17" spans="1:4" x14ac:dyDescent="0.45">
      <c r="A17" s="2">
        <v>43922</v>
      </c>
      <c r="B17" s="3">
        <f>-Sheet2!B17</f>
        <v>-0.35281556844711304</v>
      </c>
      <c r="C17">
        <f>STANDARDIZE(Sheet2!C17,AVERAGE(Sheet2!C$2:C$42),STDEV(Sheet2!C$2:C$42))</f>
        <v>0.42130311944934684</v>
      </c>
      <c r="D17">
        <f>STANDARDIZE(Sheet2!D17,AVERAGE(Sheet2!D$2:D$42),STDEV(Sheet2!D$2:D$42))</f>
        <v>0.45261435224042007</v>
      </c>
    </row>
    <row r="18" spans="1:4" x14ac:dyDescent="0.45">
      <c r="A18" s="2">
        <v>43952</v>
      </c>
      <c r="B18" s="3">
        <f>-Sheet2!B18</f>
        <v>-0.29289832711219788</v>
      </c>
      <c r="C18">
        <f>STANDARDIZE(Sheet2!C18,AVERAGE(Sheet2!C$2:C$42),STDEV(Sheet2!C$2:C$42))</f>
        <v>0.36677593778496703</v>
      </c>
      <c r="D18">
        <f>STANDARDIZE(Sheet2!D18,AVERAGE(Sheet2!D$2:D$42),STDEV(Sheet2!D$2:D$42))</f>
        <v>0.41289320768000437</v>
      </c>
    </row>
    <row r="19" spans="1:4" x14ac:dyDescent="0.45">
      <c r="A19" s="2">
        <v>43983</v>
      </c>
      <c r="B19" s="3">
        <f>-Sheet2!B19</f>
        <v>-0.48911038041114807</v>
      </c>
      <c r="C19">
        <f>STANDARDIZE(Sheet2!C19,AVERAGE(Sheet2!C$2:C$42),STDEV(Sheet2!C$2:C$42))</f>
        <v>0.38404157068731415</v>
      </c>
      <c r="D19">
        <f>STANDARDIZE(Sheet2!D19,AVERAGE(Sheet2!D$2:D$42),STDEV(Sheet2!D$2:D$42))</f>
        <v>0.39889067623032592</v>
      </c>
    </row>
    <row r="20" spans="1:4" x14ac:dyDescent="0.45">
      <c r="A20" s="2">
        <v>44013</v>
      </c>
      <c r="B20" s="3">
        <f>-Sheet2!B20</f>
        <v>-0.40055808424949646</v>
      </c>
      <c r="C20">
        <f>STANDARDIZE(Sheet2!C20,AVERAGE(Sheet2!C$2:C$42),STDEV(Sheet2!C$2:C$42))</f>
        <v>0.28957736690708408</v>
      </c>
      <c r="D20">
        <f>STANDARDIZE(Sheet2!D20,AVERAGE(Sheet2!D$2:D$42),STDEV(Sheet2!D$2:D$42))</f>
        <v>0.29841923643851237</v>
      </c>
    </row>
    <row r="21" spans="1:4" x14ac:dyDescent="0.45">
      <c r="A21" s="2">
        <v>44044</v>
      </c>
      <c r="B21" s="3">
        <f>-Sheet2!B21</f>
        <v>-0.51204419136047363</v>
      </c>
      <c r="C21">
        <f>STANDARDIZE(Sheet2!C21,AVERAGE(Sheet2!C$2:C$42),STDEV(Sheet2!C$2:C$42))</f>
        <v>0.15974089381020065</v>
      </c>
      <c r="D21">
        <f>STANDARDIZE(Sheet2!D21,AVERAGE(Sheet2!D$2:D$42),STDEV(Sheet2!D$2:D$42))</f>
        <v>0.1604922038018633</v>
      </c>
    </row>
    <row r="22" spans="1:4" x14ac:dyDescent="0.45">
      <c r="A22" s="2">
        <v>44075</v>
      </c>
      <c r="B22" s="3">
        <f>-Sheet2!B22</f>
        <v>-0.93206667900085449</v>
      </c>
      <c r="C22">
        <f>STANDARDIZE(Sheet2!C22,AVERAGE(Sheet2!C$2:C$42),STDEV(Sheet2!C$2:C$42))</f>
        <v>0.1440250289802727</v>
      </c>
      <c r="D22">
        <f>STANDARDIZE(Sheet2!D22,AVERAGE(Sheet2!D$2:D$42),STDEV(Sheet2!D$2:D$42))</f>
        <v>0.15193097604798636</v>
      </c>
    </row>
    <row r="23" spans="1:4" x14ac:dyDescent="0.45">
      <c r="A23" s="2">
        <v>44105</v>
      </c>
      <c r="B23" s="3">
        <f>-Sheet2!B23</f>
        <v>-0.85206902027130127</v>
      </c>
      <c r="C23">
        <f>STANDARDIZE(Sheet2!C23,AVERAGE(Sheet2!C$2:C$42),STDEV(Sheet2!C$2:C$42))</f>
        <v>0.49669531899497865</v>
      </c>
      <c r="D23">
        <f>STANDARDIZE(Sheet2!D23,AVERAGE(Sheet2!D$2:D$42),STDEV(Sheet2!D$2:D$42))</f>
        <v>0.52712755241570097</v>
      </c>
    </row>
    <row r="24" spans="1:4" x14ac:dyDescent="0.45">
      <c r="A24" s="2">
        <v>44136</v>
      </c>
      <c r="B24" s="3">
        <f>-Sheet2!B24</f>
        <v>-0.45427429676055908</v>
      </c>
      <c r="C24">
        <f>STANDARDIZE(Sheet2!C24,AVERAGE(Sheet2!C$2:C$42),STDEV(Sheet2!C$2:C$42))</f>
        <v>0.70505953962983337</v>
      </c>
      <c r="D24">
        <f>STANDARDIZE(Sheet2!D24,AVERAGE(Sheet2!D$2:D$42),STDEV(Sheet2!D$2:D$42))</f>
        <v>0.71809567553414588</v>
      </c>
    </row>
    <row r="25" spans="1:4" x14ac:dyDescent="0.45">
      <c r="A25" s="2">
        <v>44166</v>
      </c>
      <c r="B25" s="3">
        <f>-Sheet2!B25</f>
        <v>-0.57601511478424072</v>
      </c>
      <c r="C25">
        <f>STANDARDIZE(Sheet2!C25,AVERAGE(Sheet2!C$2:C$42),STDEV(Sheet2!C$2:C$42))</f>
        <v>0.34567348045067758</v>
      </c>
      <c r="D25">
        <f>STANDARDIZE(Sheet2!D25,AVERAGE(Sheet2!D$2:D$42),STDEV(Sheet2!D$2:D$42))</f>
        <v>0.37420316425717254</v>
      </c>
    </row>
    <row r="26" spans="1:4" x14ac:dyDescent="0.45">
      <c r="A26" s="2">
        <v>44197</v>
      </c>
      <c r="B26" s="3">
        <f>-Sheet2!B26</f>
        <v>-0.60290491580963135</v>
      </c>
      <c r="C26">
        <f>STANDARDIZE(Sheet2!C26,AVERAGE(Sheet2!C$2:C$42),STDEV(Sheet2!C$2:C$42))</f>
        <v>0.26529498391158041</v>
      </c>
      <c r="D26">
        <f>STANDARDIZE(Sheet2!D26,AVERAGE(Sheet2!D$2:D$42),STDEV(Sheet2!D$2:D$42))</f>
        <v>0.25117625077359718</v>
      </c>
    </row>
    <row r="27" spans="1:4" x14ac:dyDescent="0.45">
      <c r="A27" s="2">
        <v>44228</v>
      </c>
      <c r="B27" s="3">
        <f>-Sheet2!B27</f>
        <v>-0.52536773681640625</v>
      </c>
      <c r="C27">
        <f>STANDARDIZE(Sheet2!C27,AVERAGE(Sheet2!C$2:C$42),STDEV(Sheet2!C$2:C$42))</f>
        <v>0.24311384201303832</v>
      </c>
      <c r="D27">
        <f>STANDARDIZE(Sheet2!D27,AVERAGE(Sheet2!D$2:D$42),STDEV(Sheet2!D$2:D$42))</f>
        <v>0.22435323441548627</v>
      </c>
    </row>
    <row r="28" spans="1:4" x14ac:dyDescent="0.45">
      <c r="A28" s="2">
        <v>44256</v>
      </c>
      <c r="B28" s="3">
        <f>-Sheet2!B28</f>
        <v>-0.65622735023498535</v>
      </c>
      <c r="C28">
        <f>STANDARDIZE(Sheet2!C28,AVERAGE(Sheet2!C$2:C$42),STDEV(Sheet2!C$2:C$42))</f>
        <v>0.40804784010639578</v>
      </c>
      <c r="D28">
        <f>STANDARDIZE(Sheet2!D28,AVERAGE(Sheet2!D$2:D$42),STDEV(Sheet2!D$2:D$42))</f>
        <v>0.4029847659349089</v>
      </c>
    </row>
    <row r="29" spans="1:4" x14ac:dyDescent="0.45">
      <c r="A29" s="2">
        <v>44287</v>
      </c>
      <c r="B29" s="3">
        <f>-Sheet2!B29</f>
        <v>-1.2389721870422363</v>
      </c>
      <c r="C29">
        <f>STANDARDIZE(Sheet2!C29,AVERAGE(Sheet2!C$2:C$42),STDEV(Sheet2!C$2:C$42))</f>
        <v>5.8619160674300758E-2</v>
      </c>
      <c r="D29">
        <f>STANDARDIZE(Sheet2!D29,AVERAGE(Sheet2!D$2:D$42),STDEV(Sheet2!D$2:D$42))</f>
        <v>5.9422068564818582E-2</v>
      </c>
    </row>
    <row r="30" spans="1:4" x14ac:dyDescent="0.45">
      <c r="A30" s="2">
        <v>44317</v>
      </c>
      <c r="B30" s="3">
        <f>-Sheet2!B30</f>
        <v>-0.85020434856414795</v>
      </c>
      <c r="C30">
        <f>STANDARDIZE(Sheet2!C30,AVERAGE(Sheet2!C$2:C$42),STDEV(Sheet2!C$2:C$42))</f>
        <v>0.44911725226710036</v>
      </c>
      <c r="D30">
        <f>STANDARDIZE(Sheet2!D30,AVERAGE(Sheet2!D$2:D$42),STDEV(Sheet2!D$2:D$42))</f>
        <v>0.44636959612196192</v>
      </c>
    </row>
    <row r="31" spans="1:4" x14ac:dyDescent="0.45">
      <c r="A31" s="2">
        <v>44348</v>
      </c>
      <c r="B31" s="3">
        <f>-Sheet2!B31</f>
        <v>-0.84815192222595215</v>
      </c>
      <c r="C31">
        <f>STANDARDIZE(Sheet2!C31,AVERAGE(Sheet2!C$2:C$42),STDEV(Sheet2!C$2:C$42))</f>
        <v>0.38235152890432472</v>
      </c>
      <c r="D31">
        <f>STANDARDIZE(Sheet2!D31,AVERAGE(Sheet2!D$2:D$42),STDEV(Sheet2!D$2:D$42))</f>
        <v>0.37943936690884061</v>
      </c>
    </row>
    <row r="32" spans="1:4" x14ac:dyDescent="0.45">
      <c r="A32" s="2">
        <v>44378</v>
      </c>
      <c r="B32" s="3">
        <f>-Sheet2!B32</f>
        <v>-0.52462971210479736</v>
      </c>
      <c r="C32">
        <f>STANDARDIZE(Sheet2!C32,AVERAGE(Sheet2!C$2:C$42),STDEV(Sheet2!C$2:C$42))</f>
        <v>0.55741576125003589</v>
      </c>
      <c r="D32">
        <f>STANDARDIZE(Sheet2!D32,AVERAGE(Sheet2!D$2:D$42),STDEV(Sheet2!D$2:D$42))</f>
        <v>0.57361113475557324</v>
      </c>
    </row>
    <row r="33" spans="1:4" x14ac:dyDescent="0.45">
      <c r="A33" s="2">
        <v>44409</v>
      </c>
      <c r="B33" s="3">
        <f>-Sheet2!B33</f>
        <v>-0.71007102727890015</v>
      </c>
      <c r="C33">
        <f>STANDARDIZE(Sheet2!C33,AVERAGE(Sheet2!C$2:C$42),STDEV(Sheet2!C$2:C$42))</f>
        <v>0.60499975834458153</v>
      </c>
      <c r="D33">
        <f>STANDARDIZE(Sheet2!D33,AVERAGE(Sheet2!D$2:D$42),STDEV(Sheet2!D$2:D$42))</f>
        <v>0.61632431399511234</v>
      </c>
    </row>
    <row r="34" spans="1:4" x14ac:dyDescent="0.45">
      <c r="A34" s="2">
        <v>44440</v>
      </c>
      <c r="B34" s="3">
        <f>-Sheet2!B34</f>
        <v>-0.62150704860687256</v>
      </c>
      <c r="C34">
        <f>STANDARDIZE(Sheet2!C34,AVERAGE(Sheet2!C$2:C$42),STDEV(Sheet2!C$2:C$42))</f>
        <v>0.53331360546657725</v>
      </c>
      <c r="D34">
        <f>STANDARDIZE(Sheet2!D34,AVERAGE(Sheet2!D$2:D$42),STDEV(Sheet2!D$2:D$42))</f>
        <v>0.54451172718423968</v>
      </c>
    </row>
    <row r="35" spans="1:4" x14ac:dyDescent="0.45">
      <c r="A35" s="2">
        <v>44470</v>
      </c>
      <c r="B35" s="3">
        <f>-Sheet2!B35</f>
        <v>-0.56676805019378662</v>
      </c>
      <c r="C35">
        <f>STANDARDIZE(Sheet2!C35,AVERAGE(Sheet2!C$2:C$42),STDEV(Sheet2!C$2:C$42))</f>
        <v>0.54934115922265747</v>
      </c>
      <c r="D35">
        <f>STANDARDIZE(Sheet2!D35,AVERAGE(Sheet2!D$2:D$42),STDEV(Sheet2!D$2:D$42))</f>
        <v>0.57611126172704386</v>
      </c>
    </row>
    <row r="36" spans="1:4" x14ac:dyDescent="0.45">
      <c r="A36" s="2">
        <v>44501</v>
      </c>
      <c r="B36" s="3">
        <f>-Sheet2!B36</f>
        <v>-1.2384202480316162</v>
      </c>
      <c r="C36">
        <f>STANDARDIZE(Sheet2!C36,AVERAGE(Sheet2!C$2:C$42),STDEV(Sheet2!C$2:C$42))</f>
        <v>0.4481942188454619</v>
      </c>
      <c r="D36">
        <f>STANDARDIZE(Sheet2!D36,AVERAGE(Sheet2!D$2:D$42),STDEV(Sheet2!D$2:D$42))</f>
        <v>0.44639020867354595</v>
      </c>
    </row>
    <row r="37" spans="1:4" x14ac:dyDescent="0.45">
      <c r="A37" s="2">
        <v>44531</v>
      </c>
      <c r="B37" s="3">
        <f>-Sheet2!B37</f>
        <v>-1.7963160276412964</v>
      </c>
      <c r="C37">
        <f>STANDARDIZE(Sheet2!C37,AVERAGE(Sheet2!C$2:C$42),STDEV(Sheet2!C$2:C$42))</f>
        <v>0.33456055714667982</v>
      </c>
      <c r="D37">
        <f>STANDARDIZE(Sheet2!D37,AVERAGE(Sheet2!D$2:D$42),STDEV(Sheet2!D$2:D$42))</f>
        <v>0.30886672947357791</v>
      </c>
    </row>
    <row r="38" spans="1:4" x14ac:dyDescent="0.45">
      <c r="A38" s="2">
        <v>44562</v>
      </c>
      <c r="B38" s="3">
        <f>-Sheet2!B38</f>
        <v>-2.8139395713806152</v>
      </c>
      <c r="C38">
        <f>STANDARDIZE(Sheet2!C38,AVERAGE(Sheet2!C$2:C$42),STDEV(Sheet2!C$2:C$42))</f>
        <v>2.3721159306918035E-2</v>
      </c>
      <c r="D38">
        <f>STANDARDIZE(Sheet2!D38,AVERAGE(Sheet2!D$2:D$42),STDEV(Sheet2!D$2:D$42))</f>
        <v>-3.2895582084709496E-2</v>
      </c>
    </row>
    <row r="39" spans="1:4" x14ac:dyDescent="0.45">
      <c r="A39" s="2">
        <v>44593</v>
      </c>
      <c r="B39" s="3">
        <f>-Sheet2!B39</f>
        <v>-5.4910736083984375</v>
      </c>
      <c r="C39">
        <f>STANDARDIZE(Sheet2!C39,AVERAGE(Sheet2!C$2:C$42),STDEV(Sheet2!C$2:C$42))</f>
        <v>-2.1131386495266513</v>
      </c>
      <c r="D39">
        <f>STANDARDIZE(Sheet2!D39,AVERAGE(Sheet2!D$2:D$42),STDEV(Sheet2!D$2:D$42))</f>
        <v>-2.2314580110460844</v>
      </c>
    </row>
    <row r="40" spans="1:4" x14ac:dyDescent="0.45">
      <c r="A40" s="2">
        <v>44621</v>
      </c>
      <c r="B40" s="3">
        <f>-Sheet2!B40</f>
        <v>-9.0306835174560547</v>
      </c>
      <c r="C40">
        <f>STANDARDIZE(Sheet2!C40,AVERAGE(Sheet2!C$2:C$42),STDEV(Sheet2!C$2:C$42))</f>
        <v>-4.5915490687300595</v>
      </c>
      <c r="D40">
        <f>STANDARDIZE(Sheet2!D40,AVERAGE(Sheet2!D$2:D$42),STDEV(Sheet2!D$2:D$42))</f>
        <v>-4.6059241374290893</v>
      </c>
    </row>
    <row r="41" spans="1:4" x14ac:dyDescent="0.45">
      <c r="A41" s="2">
        <v>44652</v>
      </c>
      <c r="B41" s="3">
        <f>-Sheet2!B41</f>
        <v>-4.9046320915222168</v>
      </c>
      <c r="C41">
        <f>STANDARDIZE(Sheet2!C41,AVERAGE(Sheet2!C$2:C$42),STDEV(Sheet2!C$2:C$42))</f>
        <v>-2.8605710810902227</v>
      </c>
      <c r="D41">
        <f>STANDARDIZE(Sheet2!D41,AVERAGE(Sheet2!D$2:D$42),STDEV(Sheet2!D$2:D$42))</f>
        <v>-2.7265194858137356</v>
      </c>
    </row>
    <row r="42" spans="1:4" x14ac:dyDescent="0.45">
      <c r="A42" s="2">
        <v>44682</v>
      </c>
      <c r="B42" s="3">
        <f>-Sheet2!B42</f>
        <v>-3.046875</v>
      </c>
      <c r="C42">
        <f>STANDARDIZE(Sheet2!C42,AVERAGE(Sheet2!C$2:C$42),STDEV(Sheet2!C$2:C$42))</f>
        <v>-1.3586655675053689</v>
      </c>
      <c r="D42">
        <f>STANDARDIZE(Sheet2!D42,AVERAGE(Sheet2!D$2:D$42),STDEV(Sheet2!D$2:D$42))</f>
        <v>-1.3263164533700837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2022-06-30T12:00:16Z</dcterms:created>
  <dcterms:modified xsi:type="dcterms:W3CDTF">2022-07-01T08:55:26Z</dcterms:modified>
</cp:coreProperties>
</file>