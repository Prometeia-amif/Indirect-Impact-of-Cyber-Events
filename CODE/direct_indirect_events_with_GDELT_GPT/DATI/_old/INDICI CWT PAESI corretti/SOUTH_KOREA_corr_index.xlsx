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0E50A587-67A8-4A0E-BD14-1A33AE35D1D1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  <c r="F2" i="2" l="1"/>
</calcChain>
</file>

<file path=xl/sharedStrings.xml><?xml version="1.0" encoding="utf-8"?>
<sst xmlns="http://schemas.openxmlformats.org/spreadsheetml/2006/main" count="11" uniqueCount="8">
  <si>
    <t>CWT_ID</t>
  </si>
  <si>
    <t>month</t>
  </si>
  <si>
    <t>GPRC_KOR</t>
  </si>
  <si>
    <t>CWT_ID_corr</t>
  </si>
  <si>
    <t>CWT_ID_CORR2</t>
  </si>
  <si>
    <t xml:space="preserve"> -GPRC_KOR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</si>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</sst>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KOREA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456036745406839E-2"/>
          <c:y val="0.17171296296296298"/>
          <c:w val="0.88254396325459317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-132.8435215433027</c:v>
                </c:pt>
                <c:pt idx="1">
                  <c:v>-142.17149954580421</c:v>
                </c:pt>
                <c:pt idx="2">
                  <c:v>-254.9150479081421</c:v>
                </c:pt>
                <c:pt idx="3">
                  <c:v>-221.84674337137091</c:v>
                </c:pt>
                <c:pt idx="4">
                  <c:v>-289.94624379871141</c:v>
                </c:pt>
                <c:pt idx="5">
                  <c:v>-207.52637107177591</c:v>
                </c:pt>
                <c:pt idx="6">
                  <c:v>-348.18582669075988</c:v>
                </c:pt>
                <c:pt idx="7">
                  <c:v>-333.44787816709828</c:v>
                </c:pt>
                <c:pt idx="8">
                  <c:v>-218.54896073489499</c:v>
                </c:pt>
                <c:pt idx="9">
                  <c:v>-207.40876441712919</c:v>
                </c:pt>
                <c:pt idx="10">
                  <c:v>-197.63039278320599</c:v>
                </c:pt>
                <c:pt idx="11">
                  <c:v>-169.7112723432115</c:v>
                </c:pt>
                <c:pt idx="12">
                  <c:v>-209.60488894380541</c:v>
                </c:pt>
                <c:pt idx="13">
                  <c:v>-575.47970544317354</c:v>
                </c:pt>
                <c:pt idx="14">
                  <c:v>-711.86456532978548</c:v>
                </c:pt>
                <c:pt idx="15">
                  <c:v>-473.51300526925672</c:v>
                </c:pt>
                <c:pt idx="16">
                  <c:v>-405.27030038015181</c:v>
                </c:pt>
                <c:pt idx="17">
                  <c:v>-597.58087473464786</c:v>
                </c:pt>
                <c:pt idx="18">
                  <c:v>-363.39943221600339</c:v>
                </c:pt>
                <c:pt idx="19">
                  <c:v>-276.90137185622041</c:v>
                </c:pt>
                <c:pt idx="20">
                  <c:v>-250.28798614745321</c:v>
                </c:pt>
                <c:pt idx="21">
                  <c:v>-83.128018078468656</c:v>
                </c:pt>
                <c:pt idx="22">
                  <c:v>-142.09543425385621</c:v>
                </c:pt>
                <c:pt idx="23">
                  <c:v>-221.1591355321149</c:v>
                </c:pt>
                <c:pt idx="24">
                  <c:v>-169.70086802031881</c:v>
                </c:pt>
                <c:pt idx="25">
                  <c:v>-111.64366446588291</c:v>
                </c:pt>
                <c:pt idx="26">
                  <c:v>-210.6153152081821</c:v>
                </c:pt>
                <c:pt idx="27">
                  <c:v>-154.58147035326061</c:v>
                </c:pt>
                <c:pt idx="28">
                  <c:v>-60.30901339807388</c:v>
                </c:pt>
                <c:pt idx="29">
                  <c:v>-104.5627764355698</c:v>
                </c:pt>
                <c:pt idx="30">
                  <c:v>-118.3746907392688</c:v>
                </c:pt>
                <c:pt idx="31">
                  <c:v>-105.1790845874396</c:v>
                </c:pt>
                <c:pt idx="32">
                  <c:v>-124.6736100886435</c:v>
                </c:pt>
                <c:pt idx="33">
                  <c:v>-97.901735886799486</c:v>
                </c:pt>
                <c:pt idx="34">
                  <c:v>-74.97680219252662</c:v>
                </c:pt>
                <c:pt idx="35">
                  <c:v>-110.0426161159792</c:v>
                </c:pt>
                <c:pt idx="36">
                  <c:v>-139.32869739189121</c:v>
                </c:pt>
                <c:pt idx="37">
                  <c:v>-96.777045389657545</c:v>
                </c:pt>
                <c:pt idx="38">
                  <c:v>-177.9238348061904</c:v>
                </c:pt>
                <c:pt idx="39">
                  <c:v>-115.8127101354336</c:v>
                </c:pt>
                <c:pt idx="40">
                  <c:v>-211.91565167447021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1-4CD2-B3AC-768B7C2E516A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-56.018848988269802</c:v>
                </c:pt>
                <c:pt idx="1">
                  <c:v>-57.76764603896104</c:v>
                </c:pt>
                <c:pt idx="2">
                  <c:v>-107.3575804105572</c:v>
                </c:pt>
                <c:pt idx="3">
                  <c:v>-94.117652621212116</c:v>
                </c:pt>
                <c:pt idx="4">
                  <c:v>-128.79448356304991</c:v>
                </c:pt>
                <c:pt idx="5">
                  <c:v>-74.297410424242415</c:v>
                </c:pt>
                <c:pt idx="6">
                  <c:v>-158.6866646920821</c:v>
                </c:pt>
                <c:pt idx="7">
                  <c:v>-156.28189526392961</c:v>
                </c:pt>
                <c:pt idx="8">
                  <c:v>-86.740487075757571</c:v>
                </c:pt>
                <c:pt idx="9">
                  <c:v>-88.385350733137827</c:v>
                </c:pt>
                <c:pt idx="10">
                  <c:v>-79.489288787878792</c:v>
                </c:pt>
                <c:pt idx="11">
                  <c:v>-75.125590234604104</c:v>
                </c:pt>
                <c:pt idx="12">
                  <c:v>-79.030959193548384</c:v>
                </c:pt>
                <c:pt idx="13">
                  <c:v>-200.62300614420059</c:v>
                </c:pt>
                <c:pt idx="14">
                  <c:v>-265.28474423753659</c:v>
                </c:pt>
                <c:pt idx="15">
                  <c:v>-173.88245872727271</c:v>
                </c:pt>
                <c:pt idx="16">
                  <c:v>-148.7473745307918</c:v>
                </c:pt>
                <c:pt idx="17">
                  <c:v>-248.07144148484849</c:v>
                </c:pt>
                <c:pt idx="18">
                  <c:v>-138.99835678885631</c:v>
                </c:pt>
                <c:pt idx="19">
                  <c:v>-98.808245307917886</c:v>
                </c:pt>
                <c:pt idx="20">
                  <c:v>-87.324695500000004</c:v>
                </c:pt>
                <c:pt idx="21">
                  <c:v>-29.678103818181821</c:v>
                </c:pt>
                <c:pt idx="22">
                  <c:v>-48.245897787878789</c:v>
                </c:pt>
                <c:pt idx="23">
                  <c:v>-79.207729032258072</c:v>
                </c:pt>
                <c:pt idx="24">
                  <c:v>-70.302507653958941</c:v>
                </c:pt>
                <c:pt idx="25">
                  <c:v>-43.64129183441559</c:v>
                </c:pt>
                <c:pt idx="26">
                  <c:v>-84.55598356304985</c:v>
                </c:pt>
                <c:pt idx="27">
                  <c:v>-61.487881272727272</c:v>
                </c:pt>
                <c:pt idx="28">
                  <c:v>-23.98440828445748</c:v>
                </c:pt>
                <c:pt idx="29">
                  <c:v>-40.871812969696968</c:v>
                </c:pt>
                <c:pt idx="30">
                  <c:v>-44.482986671554251</c:v>
                </c:pt>
                <c:pt idx="31">
                  <c:v>-41.503679560117298</c:v>
                </c:pt>
                <c:pt idx="32">
                  <c:v>-56.034237151515157</c:v>
                </c:pt>
                <c:pt idx="33">
                  <c:v>-41.637755366568911</c:v>
                </c:pt>
                <c:pt idx="34">
                  <c:v>-28.223884984848489</c:v>
                </c:pt>
                <c:pt idx="35">
                  <c:v>-41.688101612903218</c:v>
                </c:pt>
                <c:pt idx="36">
                  <c:v>-64.506463563049849</c:v>
                </c:pt>
                <c:pt idx="37">
                  <c:v>-39.297984967532457</c:v>
                </c:pt>
                <c:pt idx="38">
                  <c:v>-75.558996114369506</c:v>
                </c:pt>
                <c:pt idx="39">
                  <c:v>-47.112719818181823</c:v>
                </c:pt>
                <c:pt idx="40">
                  <c:v>-85.025934393939394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1-4CD2-B3AC-768B7C2E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094560"/>
        <c:axId val="1799546336"/>
      </c:lineChart>
      <c:dateAx>
        <c:axId val="1802094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46336"/>
        <c:crosses val="autoZero"/>
        <c:auto val="1"/>
        <c:lblOffset val="100"/>
        <c:baseTimeUnit val="months"/>
      </c:dateAx>
      <c:valAx>
        <c:axId val="17995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9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CWT_ID_corr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-56.018848988269802</c:v>
                </c:pt>
                <c:pt idx="1">
                  <c:v>-57.76764603896104</c:v>
                </c:pt>
                <c:pt idx="2">
                  <c:v>-107.3575804105572</c:v>
                </c:pt>
                <c:pt idx="3">
                  <c:v>-94.117652621212116</c:v>
                </c:pt>
                <c:pt idx="4">
                  <c:v>-128.79448356304991</c:v>
                </c:pt>
                <c:pt idx="5">
                  <c:v>-74.297410424242415</c:v>
                </c:pt>
                <c:pt idx="6">
                  <c:v>-158.6866646920821</c:v>
                </c:pt>
                <c:pt idx="7">
                  <c:v>-156.28189526392961</c:v>
                </c:pt>
                <c:pt idx="8">
                  <c:v>-86.740487075757571</c:v>
                </c:pt>
                <c:pt idx="9">
                  <c:v>-88.385350733137827</c:v>
                </c:pt>
                <c:pt idx="10">
                  <c:v>-79.489288787878792</c:v>
                </c:pt>
                <c:pt idx="11">
                  <c:v>-75.125590234604104</c:v>
                </c:pt>
                <c:pt idx="12">
                  <c:v>-79.030959193548384</c:v>
                </c:pt>
                <c:pt idx="13">
                  <c:v>-200.62300614420059</c:v>
                </c:pt>
                <c:pt idx="14">
                  <c:v>-265.28474423753659</c:v>
                </c:pt>
                <c:pt idx="15">
                  <c:v>-173.88245872727271</c:v>
                </c:pt>
                <c:pt idx="16">
                  <c:v>-148.7473745307918</c:v>
                </c:pt>
                <c:pt idx="17">
                  <c:v>-248.07144148484849</c:v>
                </c:pt>
                <c:pt idx="18">
                  <c:v>-138.99835678885631</c:v>
                </c:pt>
                <c:pt idx="19">
                  <c:v>-98.808245307917886</c:v>
                </c:pt>
                <c:pt idx="20">
                  <c:v>-87.324695500000004</c:v>
                </c:pt>
                <c:pt idx="21">
                  <c:v>-29.678103818181821</c:v>
                </c:pt>
                <c:pt idx="22">
                  <c:v>-48.245897787878789</c:v>
                </c:pt>
                <c:pt idx="23">
                  <c:v>-79.207729032258072</c:v>
                </c:pt>
                <c:pt idx="24">
                  <c:v>-70.302507653958941</c:v>
                </c:pt>
                <c:pt idx="25">
                  <c:v>-43.64129183441559</c:v>
                </c:pt>
                <c:pt idx="26">
                  <c:v>-84.55598356304985</c:v>
                </c:pt>
                <c:pt idx="27">
                  <c:v>-61.487881272727272</c:v>
                </c:pt>
                <c:pt idx="28">
                  <c:v>-23.98440828445748</c:v>
                </c:pt>
                <c:pt idx="29">
                  <c:v>-40.871812969696968</c:v>
                </c:pt>
                <c:pt idx="30">
                  <c:v>-44.482986671554251</c:v>
                </c:pt>
                <c:pt idx="31">
                  <c:v>-41.503679560117298</c:v>
                </c:pt>
                <c:pt idx="32">
                  <c:v>-56.034237151515157</c:v>
                </c:pt>
                <c:pt idx="33">
                  <c:v>-41.637755366568911</c:v>
                </c:pt>
                <c:pt idx="34">
                  <c:v>-28.223884984848489</c:v>
                </c:pt>
                <c:pt idx="35">
                  <c:v>-41.688101612903218</c:v>
                </c:pt>
                <c:pt idx="36">
                  <c:v>-64.506463563049849</c:v>
                </c:pt>
                <c:pt idx="37">
                  <c:v>-39.297984967532457</c:v>
                </c:pt>
                <c:pt idx="38">
                  <c:v>-75.558996114369506</c:v>
                </c:pt>
                <c:pt idx="39">
                  <c:v>-47.112719818181823</c:v>
                </c:pt>
                <c:pt idx="40">
                  <c:v>-85.025934393939394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0-48B6-9932-E996A183F645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CWT_ID_CORR2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Sheet2!$E$2:$E$42</c:f>
              <c:numCache>
                <c:formatCode>General</c:formatCode>
                <c:ptCount val="41"/>
                <c:pt idx="0">
                  <c:v>-53.900513079982318</c:v>
                </c:pt>
                <c:pt idx="1">
                  <c:v>-55.708783643183303</c:v>
                </c:pt>
                <c:pt idx="2">
                  <c:v>-102.1670634261305</c:v>
                </c:pt>
                <c:pt idx="3">
                  <c:v>-90.446240380517509</c:v>
                </c:pt>
                <c:pt idx="4">
                  <c:v>-123.0633068051259</c:v>
                </c:pt>
                <c:pt idx="5">
                  <c:v>-70.24867835616439</c:v>
                </c:pt>
                <c:pt idx="6">
                  <c:v>-151.23151478862869</c:v>
                </c:pt>
                <c:pt idx="7">
                  <c:v>-149.47671726321991</c:v>
                </c:pt>
                <c:pt idx="8">
                  <c:v>-82.791952328767124</c:v>
                </c:pt>
                <c:pt idx="9">
                  <c:v>-83.947174340845478</c:v>
                </c:pt>
                <c:pt idx="10">
                  <c:v>-75.664971445966515</c:v>
                </c:pt>
                <c:pt idx="11">
                  <c:v>-71.659878362056261</c:v>
                </c:pt>
                <c:pt idx="12">
                  <c:v>-76.250268817204301</c:v>
                </c:pt>
                <c:pt idx="13">
                  <c:v>-195.3078795937648</c:v>
                </c:pt>
                <c:pt idx="14">
                  <c:v>-256.94393443806149</c:v>
                </c:pt>
                <c:pt idx="15">
                  <c:v>-167.9757463165906</c:v>
                </c:pt>
                <c:pt idx="16">
                  <c:v>-143.68107581381639</c:v>
                </c:pt>
                <c:pt idx="17">
                  <c:v>-238.990455327245</c:v>
                </c:pt>
                <c:pt idx="18">
                  <c:v>-133.5654458683164</c:v>
                </c:pt>
                <c:pt idx="19">
                  <c:v>-95.7520024009427</c:v>
                </c:pt>
                <c:pt idx="20">
                  <c:v>-84.035129528158294</c:v>
                </c:pt>
                <c:pt idx="21">
                  <c:v>-29.402469391171991</c:v>
                </c:pt>
                <c:pt idx="22">
                  <c:v>-46.811261232876717</c:v>
                </c:pt>
                <c:pt idx="23">
                  <c:v>-77.138513109441746</c:v>
                </c:pt>
                <c:pt idx="24">
                  <c:v>-67.934746428045372</c:v>
                </c:pt>
                <c:pt idx="25">
                  <c:v>-42.024394439008468</c:v>
                </c:pt>
                <c:pt idx="26">
                  <c:v>-80.839599587568117</c:v>
                </c:pt>
                <c:pt idx="27">
                  <c:v>-59.194754550989352</c:v>
                </c:pt>
                <c:pt idx="28">
                  <c:v>-22.99526180586243</c:v>
                </c:pt>
                <c:pt idx="29">
                  <c:v>-39.195601659056322</c:v>
                </c:pt>
                <c:pt idx="30">
                  <c:v>-43.352004315804983</c:v>
                </c:pt>
                <c:pt idx="31">
                  <c:v>-40.118953115333618</c:v>
                </c:pt>
                <c:pt idx="32">
                  <c:v>-53.94970365296804</c:v>
                </c:pt>
                <c:pt idx="33">
                  <c:v>-39.633317690381503</c:v>
                </c:pt>
                <c:pt idx="34">
                  <c:v>-27.05296380517504</c:v>
                </c:pt>
                <c:pt idx="35">
                  <c:v>-40.45318214759169</c:v>
                </c:pt>
                <c:pt idx="36">
                  <c:v>-61.245418559434377</c:v>
                </c:pt>
                <c:pt idx="37">
                  <c:v>-37.613884279191133</c:v>
                </c:pt>
                <c:pt idx="38">
                  <c:v>-72.063205170128157</c:v>
                </c:pt>
                <c:pt idx="39">
                  <c:v>-45.45057891933029</c:v>
                </c:pt>
                <c:pt idx="40">
                  <c:v>-81.550472876712334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0-48B6-9932-E996A183F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799360"/>
        <c:axId val="1921595136"/>
      </c:lineChart>
      <c:dateAx>
        <c:axId val="191979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95136"/>
        <c:crosses val="autoZero"/>
        <c:auto val="1"/>
        <c:lblOffset val="100"/>
        <c:baseTimeUnit val="months"/>
      </c:dateAx>
      <c:valAx>
        <c:axId val="19215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r>
              <a:rPr lang="en-US" baseline="0"/>
              <a:t> KOREA    CORR=0.076827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-0.45898851752281189</c:v>
                </c:pt>
                <c:pt idx="1">
                  <c:v>-0.50514590740203857</c:v>
                </c:pt>
                <c:pt idx="2">
                  <c:v>-0.5547676682472229</c:v>
                </c:pt>
                <c:pt idx="3">
                  <c:v>-0.40737757086753845</c:v>
                </c:pt>
                <c:pt idx="4">
                  <c:v>-0.5501590371131897</c:v>
                </c:pt>
                <c:pt idx="5">
                  <c:v>-0.42281472682952881</c:v>
                </c:pt>
                <c:pt idx="6">
                  <c:v>-0.36279976367950439</c:v>
                </c:pt>
                <c:pt idx="7">
                  <c:v>-0.48225820064544678</c:v>
                </c:pt>
                <c:pt idx="8">
                  <c:v>-0.32773816585540771</c:v>
                </c:pt>
                <c:pt idx="9">
                  <c:v>-0.23543260991573334</c:v>
                </c:pt>
                <c:pt idx="10">
                  <c:v>-0.17165492475032806</c:v>
                </c:pt>
                <c:pt idx="11">
                  <c:v>-0.27181828022003174</c:v>
                </c:pt>
                <c:pt idx="12">
                  <c:v>-0.38826385140419006</c:v>
                </c:pt>
                <c:pt idx="13">
                  <c:v>-0.20062416791915894</c:v>
                </c:pt>
                <c:pt idx="14">
                  <c:v>-0.26509320735931396</c:v>
                </c:pt>
                <c:pt idx="15">
                  <c:v>-0.12070006132125854</c:v>
                </c:pt>
                <c:pt idx="16">
                  <c:v>-0.19376352429389954</c:v>
                </c:pt>
                <c:pt idx="17">
                  <c:v>-0.26762643456459045</c:v>
                </c:pt>
                <c:pt idx="18">
                  <c:v>-0.27453979849815369</c:v>
                </c:pt>
                <c:pt idx="19">
                  <c:v>-0.17364975810050964</c:v>
                </c:pt>
                <c:pt idx="20">
                  <c:v>-0.19716794788837433</c:v>
                </c:pt>
                <c:pt idx="21">
                  <c:v>-0.13076306879520416</c:v>
                </c:pt>
                <c:pt idx="22">
                  <c:v>-0.13765887916088104</c:v>
                </c:pt>
                <c:pt idx="23">
                  <c:v>-0.18885740637779236</c:v>
                </c:pt>
                <c:pt idx="24">
                  <c:v>-0.28775006532669067</c:v>
                </c:pt>
                <c:pt idx="25">
                  <c:v>-0.18512959778308868</c:v>
                </c:pt>
                <c:pt idx="26">
                  <c:v>-0.33490225672721863</c:v>
                </c:pt>
                <c:pt idx="27">
                  <c:v>-0.1976570338010788</c:v>
                </c:pt>
                <c:pt idx="28">
                  <c:v>-0.26774391531944275</c:v>
                </c:pt>
                <c:pt idx="29">
                  <c:v>-0.21203798055648804</c:v>
                </c:pt>
                <c:pt idx="30">
                  <c:v>-0.1857096403837204</c:v>
                </c:pt>
                <c:pt idx="31">
                  <c:v>-0.20002000033855438</c:v>
                </c:pt>
                <c:pt idx="32">
                  <c:v>-0.27943727374076843</c:v>
                </c:pt>
                <c:pt idx="33">
                  <c:v>-0.211962029337883</c:v>
                </c:pt>
                <c:pt idx="34">
                  <c:v>-0.17552413046360016</c:v>
                </c:pt>
                <c:pt idx="35">
                  <c:v>-0.16745318472385406</c:v>
                </c:pt>
                <c:pt idx="36">
                  <c:v>-0.3454836905002594</c:v>
                </c:pt>
                <c:pt idx="37">
                  <c:v>-0.31749334931373596</c:v>
                </c:pt>
                <c:pt idx="38">
                  <c:v>-0.74716079235076904</c:v>
                </c:pt>
                <c:pt idx="39">
                  <c:v>-0.31486526131629944</c:v>
                </c:pt>
                <c:pt idx="40">
                  <c:v>-0.4622395932674408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5-49F0-A7C7-9E5481E5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353552"/>
        <c:axId val="1893220272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0.57992623009588495</c:v>
                </c:pt>
                <c:pt idx="1">
                  <c:v>0.54921889263969659</c:v>
                </c:pt>
                <c:pt idx="2">
                  <c:v>-0.32153672109886661</c:v>
                </c:pt>
                <c:pt idx="3">
                  <c:v>-8.9055238835223871E-2</c:v>
                </c:pt>
                <c:pt idx="4">
                  <c:v>-0.69794987827970179</c:v>
                </c:pt>
                <c:pt idx="5">
                  <c:v>0.25897077445497713</c:v>
                </c:pt>
                <c:pt idx="6">
                  <c:v>-1.2228302769902784</c:v>
                </c:pt>
                <c:pt idx="7">
                  <c:v>-1.1806046417712486</c:v>
                </c:pt>
                <c:pt idx="8">
                  <c:v>4.0481297028041749E-2</c:v>
                </c:pt>
                <c:pt idx="9">
                  <c:v>1.15989385081488E-2</c:v>
                </c:pt>
                <c:pt idx="10">
                  <c:v>0.16780595868596107</c:v>
                </c:pt>
                <c:pt idx="11">
                  <c:v>0.24442866569448576</c:v>
                </c:pt>
                <c:pt idx="12">
                  <c:v>0.1758538230814887</c:v>
                </c:pt>
                <c:pt idx="13">
                  <c:v>-1.9591955334041884</c:v>
                </c:pt>
                <c:pt idx="14">
                  <c:v>-3.0945987589247856</c:v>
                </c:pt>
                <c:pt idx="15">
                  <c:v>-1.4896550495783227</c:v>
                </c:pt>
                <c:pt idx="16">
                  <c:v>-1.0483050872679629</c:v>
                </c:pt>
                <c:pt idx="17">
                  <c:v>-2.7923483084488985</c:v>
                </c:pt>
                <c:pt idx="18">
                  <c:v>-0.8771209138101842</c:v>
                </c:pt>
                <c:pt idx="19">
                  <c:v>-0.17141791919500099</c:v>
                </c:pt>
                <c:pt idx="20">
                  <c:v>3.0223111139136217E-2</c:v>
                </c:pt>
                <c:pt idx="21">
                  <c:v>1.042446538250364</c:v>
                </c:pt>
                <c:pt idx="22">
                  <c:v>0.71641241381088316</c:v>
                </c:pt>
                <c:pt idx="23">
                  <c:v>0.17274990025225653</c:v>
                </c:pt>
                <c:pt idx="24">
                  <c:v>0.32911775201493365</c:v>
                </c:pt>
                <c:pt idx="25">
                  <c:v>0.79726524279402899</c:v>
                </c:pt>
                <c:pt idx="26">
                  <c:v>7.8839256582256684E-2</c:v>
                </c:pt>
                <c:pt idx="27">
                  <c:v>0.48389483534299255</c:v>
                </c:pt>
                <c:pt idx="28">
                  <c:v>1.1424228219808052</c:v>
                </c:pt>
                <c:pt idx="29">
                  <c:v>0.84589485481394955</c:v>
                </c:pt>
                <c:pt idx="30">
                  <c:v>0.78248582205510897</c:v>
                </c:pt>
                <c:pt idx="31">
                  <c:v>0.83479983346103792</c:v>
                </c:pt>
                <c:pt idx="32">
                  <c:v>0.57965602748923073</c:v>
                </c:pt>
                <c:pt idx="33">
                  <c:v>0.83244558027208559</c:v>
                </c:pt>
                <c:pt idx="34">
                  <c:v>1.067981341407003</c:v>
                </c:pt>
                <c:pt idx="35">
                  <c:v>0.83156154448575526</c:v>
                </c:pt>
                <c:pt idx="36">
                  <c:v>0.43089118635377954</c:v>
                </c:pt>
                <c:pt idx="37">
                  <c:v>0.87352988973201628</c:v>
                </c:pt>
                <c:pt idx="38">
                  <c:v>0.2368184397965224</c:v>
                </c:pt>
                <c:pt idx="39">
                  <c:v>0.73631002188361472</c:v>
                </c:pt>
                <c:pt idx="40">
                  <c:v>7.0587333498193086E-2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5-49F0-A7C7-9E5481E5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350752"/>
        <c:axId val="1893229424"/>
      </c:lineChart>
      <c:dateAx>
        <c:axId val="169135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20272"/>
        <c:auto val="1"/>
        <c:lblOffset val="100"/>
        <c:baseTimeUnit val="months"/>
      </c:dateAx>
      <c:valAx>
        <c:axId val="18932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3552"/>
        <c:crossBetween val="between"/>
      </c:valAx>
      <c:valAx>
        <c:axId val="189322942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0752"/>
        <c:crosses val="max"/>
        <c:crossBetween val="between"/>
      </c:valAx>
      <c:dateAx>
        <c:axId val="1691350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93229424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326230</xdr:colOff>
      <xdr:row>19</xdr:row>
      <xdr:rowOff>164306</xdr:rowOff>
    </xdr:from>
    <xdr:to>
      <xdr:col>12</xdr:col>
      <xdr:colOff>364330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A3C85-6699-4C79-A66B-A69AEB0B3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416718</xdr:colOff>
      <xdr:row>21</xdr:row>
      <xdr:rowOff>154781</xdr:rowOff>
    </xdr:from>
    <xdr:to>
      <xdr:col>16</xdr:col>
      <xdr:colOff>454818</xdr:colOff>
      <xdr:row>37</xdr:row>
      <xdr:rowOff>2381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470F74-7B69-451F-A0CB-050AFE8BC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14490-5387-4243-8535-99393D6EE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-56.018848988269802</v>
      </c>
    </row>
    <row r="3" spans="1:2" x14ac:dyDescent="0.45">
      <c r="A3" s="2">
        <v>43497</v>
      </c>
      <c r="B3">
        <v>-57.76764603896104</v>
      </c>
    </row>
    <row r="4" spans="1:2" x14ac:dyDescent="0.45">
      <c r="A4" s="2">
        <v>43525</v>
      </c>
      <c r="B4">
        <v>-107.3575804105572</v>
      </c>
    </row>
    <row r="5" spans="1:2" x14ac:dyDescent="0.45">
      <c r="A5" s="2">
        <v>43556</v>
      </c>
      <c r="B5">
        <v>-94.117652621212116</v>
      </c>
    </row>
    <row r="6" spans="1:2" x14ac:dyDescent="0.45">
      <c r="A6" s="2">
        <v>43586</v>
      </c>
      <c r="B6">
        <v>-128.79448356304991</v>
      </c>
    </row>
    <row r="7" spans="1:2" x14ac:dyDescent="0.45">
      <c r="A7" s="2">
        <v>43617</v>
      </c>
      <c r="B7">
        <v>-74.297410424242415</v>
      </c>
    </row>
    <row r="8" spans="1:2" x14ac:dyDescent="0.45">
      <c r="A8" s="2">
        <v>43647</v>
      </c>
      <c r="B8">
        <v>-158.6866646920821</v>
      </c>
    </row>
    <row r="9" spans="1:2" x14ac:dyDescent="0.45">
      <c r="A9" s="2">
        <v>43678</v>
      </c>
      <c r="B9">
        <v>-156.28189526392961</v>
      </c>
    </row>
    <row r="10" spans="1:2" x14ac:dyDescent="0.45">
      <c r="A10" s="2">
        <v>43709</v>
      </c>
      <c r="B10">
        <v>-86.740487075757571</v>
      </c>
    </row>
    <row r="11" spans="1:2" x14ac:dyDescent="0.45">
      <c r="A11" s="2">
        <v>43739</v>
      </c>
      <c r="B11">
        <v>-88.385350733137827</v>
      </c>
    </row>
    <row r="12" spans="1:2" x14ac:dyDescent="0.45">
      <c r="A12" s="2">
        <v>43770</v>
      </c>
      <c r="B12">
        <v>-79.489288787878792</v>
      </c>
    </row>
    <row r="13" spans="1:2" x14ac:dyDescent="0.45">
      <c r="A13" s="2">
        <v>43800</v>
      </c>
      <c r="B13">
        <v>-75.125590234604104</v>
      </c>
    </row>
    <row r="14" spans="1:2" x14ac:dyDescent="0.45">
      <c r="A14" s="2">
        <v>43831</v>
      </c>
      <c r="B14">
        <v>-79.030959193548384</v>
      </c>
    </row>
    <row r="15" spans="1:2" x14ac:dyDescent="0.45">
      <c r="A15" s="2">
        <v>43862</v>
      </c>
      <c r="B15">
        <v>-200.62300614420059</v>
      </c>
    </row>
    <row r="16" spans="1:2" x14ac:dyDescent="0.45">
      <c r="A16" s="2">
        <v>43891</v>
      </c>
      <c r="B16">
        <v>-265.28474423753659</v>
      </c>
    </row>
    <row r="17" spans="1:2" x14ac:dyDescent="0.45">
      <c r="A17" s="2">
        <v>43922</v>
      </c>
      <c r="B17">
        <v>-173.88245872727271</v>
      </c>
    </row>
    <row r="18" spans="1:2" x14ac:dyDescent="0.45">
      <c r="A18" s="2">
        <v>43952</v>
      </c>
      <c r="B18">
        <v>-148.7473745307918</v>
      </c>
    </row>
    <row r="19" spans="1:2" x14ac:dyDescent="0.45">
      <c r="A19" s="2">
        <v>43983</v>
      </c>
      <c r="B19">
        <v>-248.07144148484849</v>
      </c>
    </row>
    <row r="20" spans="1:2" x14ac:dyDescent="0.45">
      <c r="A20" s="2">
        <v>44013</v>
      </c>
      <c r="B20">
        <v>-138.99835678885631</v>
      </c>
    </row>
    <row r="21" spans="1:2" x14ac:dyDescent="0.45">
      <c r="A21" s="2">
        <v>44044</v>
      </c>
      <c r="B21">
        <v>-98.808245307917886</v>
      </c>
    </row>
    <row r="22" spans="1:2" x14ac:dyDescent="0.45">
      <c r="A22" s="2">
        <v>44075</v>
      </c>
      <c r="B22">
        <v>-87.324695500000004</v>
      </c>
    </row>
    <row r="23" spans="1:2" x14ac:dyDescent="0.45">
      <c r="A23" s="2">
        <v>44105</v>
      </c>
      <c r="B23">
        <v>-29.678103818181821</v>
      </c>
    </row>
    <row r="24" spans="1:2" x14ac:dyDescent="0.45">
      <c r="A24" s="2">
        <v>44136</v>
      </c>
      <c r="B24">
        <v>-48.245897787878789</v>
      </c>
    </row>
    <row r="25" spans="1:2" x14ac:dyDescent="0.45">
      <c r="A25" s="2">
        <v>44166</v>
      </c>
      <c r="B25">
        <v>-79.207729032258072</v>
      </c>
    </row>
    <row r="26" spans="1:2" x14ac:dyDescent="0.45">
      <c r="A26" s="2">
        <v>44197</v>
      </c>
      <c r="B26">
        <v>-70.302507653958941</v>
      </c>
    </row>
    <row r="27" spans="1:2" x14ac:dyDescent="0.45">
      <c r="A27" s="2">
        <v>44228</v>
      </c>
      <c r="B27">
        <v>-43.64129183441559</v>
      </c>
    </row>
    <row r="28" spans="1:2" x14ac:dyDescent="0.45">
      <c r="A28" s="2">
        <v>44256</v>
      </c>
      <c r="B28">
        <v>-84.55598356304985</v>
      </c>
    </row>
    <row r="29" spans="1:2" x14ac:dyDescent="0.45">
      <c r="A29" s="2">
        <v>44287</v>
      </c>
      <c r="B29">
        <v>-61.487881272727272</v>
      </c>
    </row>
    <row r="30" spans="1:2" x14ac:dyDescent="0.45">
      <c r="A30" s="2">
        <v>44317</v>
      </c>
      <c r="B30">
        <v>-23.98440828445748</v>
      </c>
    </row>
    <row r="31" spans="1:2" x14ac:dyDescent="0.45">
      <c r="A31" s="2">
        <v>44348</v>
      </c>
      <c r="B31">
        <v>-40.871812969696968</v>
      </c>
    </row>
    <row r="32" spans="1:2" x14ac:dyDescent="0.45">
      <c r="A32" s="2">
        <v>44378</v>
      </c>
      <c r="B32">
        <v>-44.482986671554251</v>
      </c>
    </row>
    <row r="33" spans="1:2" x14ac:dyDescent="0.45">
      <c r="A33" s="2">
        <v>44409</v>
      </c>
      <c r="B33">
        <v>-41.503679560117298</v>
      </c>
    </row>
    <row r="34" spans="1:2" x14ac:dyDescent="0.45">
      <c r="A34" s="2">
        <v>44440</v>
      </c>
      <c r="B34">
        <v>-56.034237151515157</v>
      </c>
    </row>
    <row r="35" spans="1:2" x14ac:dyDescent="0.45">
      <c r="A35" s="2">
        <v>44470</v>
      </c>
      <c r="B35">
        <v>-41.637755366568911</v>
      </c>
    </row>
    <row r="36" spans="1:2" x14ac:dyDescent="0.45">
      <c r="A36" s="2">
        <v>44501</v>
      </c>
      <c r="B36">
        <v>-28.223884984848489</v>
      </c>
    </row>
    <row r="37" spans="1:2" x14ac:dyDescent="0.45">
      <c r="A37" s="2">
        <v>44531</v>
      </c>
      <c r="B37">
        <v>-41.688101612903218</v>
      </c>
    </row>
    <row r="38" spans="1:2" x14ac:dyDescent="0.45">
      <c r="A38" s="2">
        <v>44562</v>
      </c>
      <c r="B38">
        <v>-64.506463563049849</v>
      </c>
    </row>
    <row r="39" spans="1:2" x14ac:dyDescent="0.45">
      <c r="A39" s="2">
        <v>44593</v>
      </c>
      <c r="B39">
        <v>-39.297984967532457</v>
      </c>
    </row>
    <row r="40" spans="1:2" x14ac:dyDescent="0.45">
      <c r="A40" s="2">
        <v>44621</v>
      </c>
      <c r="B40">
        <v>-75.558996114369506</v>
      </c>
    </row>
    <row r="41" spans="1:2" x14ac:dyDescent="0.45">
      <c r="A41" s="2">
        <v>44652</v>
      </c>
      <c r="B41">
        <v>-47.112719818181823</v>
      </c>
    </row>
    <row r="42" spans="1:2" x14ac:dyDescent="0.45">
      <c r="A42" s="2">
        <v>44682</v>
      </c>
      <c r="B42">
        <v>-85.025934393939394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7B42-A081-4971-A642-60A41899E6BB}">
  <dimension ref="A1:F42"/>
  <sheetViews>
    <sheetView workbookViewId="0">
      <selection activeCell="B1" sqref="B1:D1"/>
    </sheetView>
  </sheetViews>
  <sheetFormatPr defaultRowHeight="14.25" x14ac:dyDescent="0.45"/>
  <cols>
    <col min="3" max="3" width="11.46484375" customWidth="1"/>
    <col min="4" max="4" width="12.86328125" customWidth="1"/>
  </cols>
  <sheetData>
    <row r="1" spans="1:6" x14ac:dyDescent="0.45">
      <c r="A1" t="s">
        <v>1</v>
      </c>
      <c r="B1" t="s">
        <v>2</v>
      </c>
      <c r="C1" s="1" t="s">
        <v>0</v>
      </c>
      <c r="D1" s="1" t="s">
        <v>3</v>
      </c>
      <c r="E1" s="1" t="s">
        <v>4</v>
      </c>
    </row>
    <row r="2" spans="1:6" x14ac:dyDescent="0.45">
      <c r="A2" s="2">
        <v>43466</v>
      </c>
      <c r="B2" s="3">
        <v>0.45898851752281189</v>
      </c>
      <c r="C2">
        <v>-132.8435215433027</v>
      </c>
      <c r="D2">
        <v>-56.018848988269802</v>
      </c>
      <c r="E2">
        <v>-53.900513079982318</v>
      </c>
      <c r="F2">
        <f>CORREL(B2:B42,D2:D42)</f>
        <v>-7.6826646389321726E-2</v>
      </c>
    </row>
    <row r="3" spans="1:6" x14ac:dyDescent="0.45">
      <c r="A3" s="2">
        <v>43497</v>
      </c>
      <c r="B3" s="3">
        <v>0.50514590740203857</v>
      </c>
      <c r="C3">
        <v>-142.17149954580421</v>
      </c>
      <c r="D3">
        <v>-57.76764603896104</v>
      </c>
      <c r="E3">
        <v>-55.708783643183303</v>
      </c>
    </row>
    <row r="4" spans="1:6" x14ac:dyDescent="0.45">
      <c r="A4" s="2">
        <v>43525</v>
      </c>
      <c r="B4" s="3">
        <v>0.5547676682472229</v>
      </c>
      <c r="C4">
        <v>-254.9150479081421</v>
      </c>
      <c r="D4">
        <v>-107.3575804105572</v>
      </c>
      <c r="E4">
        <v>-102.1670634261305</v>
      </c>
    </row>
    <row r="5" spans="1:6" x14ac:dyDescent="0.45">
      <c r="A5" s="2">
        <v>43556</v>
      </c>
      <c r="B5" s="3">
        <v>0.40737757086753845</v>
      </c>
      <c r="C5">
        <v>-221.84674337137091</v>
      </c>
      <c r="D5">
        <v>-94.117652621212116</v>
      </c>
      <c r="E5">
        <v>-90.446240380517509</v>
      </c>
    </row>
    <row r="6" spans="1:6" x14ac:dyDescent="0.45">
      <c r="A6" s="2">
        <v>43586</v>
      </c>
      <c r="B6" s="3">
        <v>0.5501590371131897</v>
      </c>
      <c r="C6">
        <v>-289.94624379871141</v>
      </c>
      <c r="D6">
        <v>-128.79448356304991</v>
      </c>
      <c r="E6">
        <v>-123.0633068051259</v>
      </c>
    </row>
    <row r="7" spans="1:6" x14ac:dyDescent="0.45">
      <c r="A7" s="2">
        <v>43617</v>
      </c>
      <c r="B7" s="3">
        <v>0.42281472682952881</v>
      </c>
      <c r="C7">
        <v>-207.52637107177591</v>
      </c>
      <c r="D7">
        <v>-74.297410424242415</v>
      </c>
      <c r="E7">
        <v>-70.24867835616439</v>
      </c>
    </row>
    <row r="8" spans="1:6" x14ac:dyDescent="0.45">
      <c r="A8" s="2">
        <v>43647</v>
      </c>
      <c r="B8" s="3">
        <v>0.36279976367950439</v>
      </c>
      <c r="C8">
        <v>-348.18582669075988</v>
      </c>
      <c r="D8">
        <v>-158.6866646920821</v>
      </c>
      <c r="E8">
        <v>-151.23151478862869</v>
      </c>
    </row>
    <row r="9" spans="1:6" x14ac:dyDescent="0.45">
      <c r="A9" s="2">
        <v>43678</v>
      </c>
      <c r="B9" s="3">
        <v>0.48225820064544678</v>
      </c>
      <c r="C9">
        <v>-333.44787816709828</v>
      </c>
      <c r="D9">
        <v>-156.28189526392961</v>
      </c>
      <c r="E9">
        <v>-149.47671726321991</v>
      </c>
    </row>
    <row r="10" spans="1:6" x14ac:dyDescent="0.45">
      <c r="A10" s="2">
        <v>43709</v>
      </c>
      <c r="B10" s="3">
        <v>0.32773816585540771</v>
      </c>
      <c r="C10">
        <v>-218.54896073489499</v>
      </c>
      <c r="D10">
        <v>-86.740487075757571</v>
      </c>
      <c r="E10">
        <v>-82.791952328767124</v>
      </c>
    </row>
    <row r="11" spans="1:6" x14ac:dyDescent="0.45">
      <c r="A11" s="2">
        <v>43739</v>
      </c>
      <c r="B11" s="3">
        <v>0.23543260991573334</v>
      </c>
      <c r="C11">
        <v>-207.40876441712919</v>
      </c>
      <c r="D11">
        <v>-88.385350733137827</v>
      </c>
      <c r="E11">
        <v>-83.947174340845478</v>
      </c>
    </row>
    <row r="12" spans="1:6" x14ac:dyDescent="0.45">
      <c r="A12" s="2">
        <v>43770</v>
      </c>
      <c r="B12" s="3">
        <v>0.17165492475032806</v>
      </c>
      <c r="C12">
        <v>-197.63039278320599</v>
      </c>
      <c r="D12">
        <v>-79.489288787878792</v>
      </c>
      <c r="E12">
        <v>-75.664971445966515</v>
      </c>
    </row>
    <row r="13" spans="1:6" x14ac:dyDescent="0.45">
      <c r="A13" s="2">
        <v>43800</v>
      </c>
      <c r="B13" s="3">
        <v>0.27181828022003174</v>
      </c>
      <c r="C13">
        <v>-169.7112723432115</v>
      </c>
      <c r="D13">
        <v>-75.125590234604104</v>
      </c>
      <c r="E13">
        <v>-71.659878362056261</v>
      </c>
    </row>
    <row r="14" spans="1:6" x14ac:dyDescent="0.45">
      <c r="A14" s="2">
        <v>43831</v>
      </c>
      <c r="B14" s="3">
        <v>0.38826385140419006</v>
      </c>
      <c r="C14">
        <v>-209.60488894380541</v>
      </c>
      <c r="D14">
        <v>-79.030959193548384</v>
      </c>
      <c r="E14">
        <v>-76.250268817204301</v>
      </c>
    </row>
    <row r="15" spans="1:6" x14ac:dyDescent="0.45">
      <c r="A15" s="2">
        <v>43862</v>
      </c>
      <c r="B15" s="3">
        <v>0.20062416791915894</v>
      </c>
      <c r="C15">
        <v>-575.47970544317354</v>
      </c>
      <c r="D15">
        <v>-200.62300614420059</v>
      </c>
      <c r="E15">
        <v>-195.3078795937648</v>
      </c>
    </row>
    <row r="16" spans="1:6" x14ac:dyDescent="0.45">
      <c r="A16" s="2">
        <v>43891</v>
      </c>
      <c r="B16" s="3">
        <v>0.26509320735931396</v>
      </c>
      <c r="C16">
        <v>-711.86456532978548</v>
      </c>
      <c r="D16">
        <v>-265.28474423753659</v>
      </c>
      <c r="E16">
        <v>-256.94393443806149</v>
      </c>
    </row>
    <row r="17" spans="1:5" x14ac:dyDescent="0.45">
      <c r="A17" s="2">
        <v>43922</v>
      </c>
      <c r="B17" s="3">
        <v>0.12070006132125854</v>
      </c>
      <c r="C17">
        <v>-473.51300526925672</v>
      </c>
      <c r="D17">
        <v>-173.88245872727271</v>
      </c>
      <c r="E17">
        <v>-167.9757463165906</v>
      </c>
    </row>
    <row r="18" spans="1:5" x14ac:dyDescent="0.45">
      <c r="A18" s="2">
        <v>43952</v>
      </c>
      <c r="B18" s="3">
        <v>0.19376352429389954</v>
      </c>
      <c r="C18">
        <v>-405.27030038015181</v>
      </c>
      <c r="D18">
        <v>-148.7473745307918</v>
      </c>
      <c r="E18">
        <v>-143.68107581381639</v>
      </c>
    </row>
    <row r="19" spans="1:5" x14ac:dyDescent="0.45">
      <c r="A19" s="2">
        <v>43983</v>
      </c>
      <c r="B19" s="3">
        <v>0.26762643456459045</v>
      </c>
      <c r="C19">
        <v>-597.58087473464786</v>
      </c>
      <c r="D19">
        <v>-248.07144148484849</v>
      </c>
      <c r="E19">
        <v>-238.990455327245</v>
      </c>
    </row>
    <row r="20" spans="1:5" x14ac:dyDescent="0.45">
      <c r="A20" s="2">
        <v>44013</v>
      </c>
      <c r="B20" s="3">
        <v>0.27453979849815369</v>
      </c>
      <c r="C20">
        <v>-363.39943221600339</v>
      </c>
      <c r="D20">
        <v>-138.99835678885631</v>
      </c>
      <c r="E20">
        <v>-133.5654458683164</v>
      </c>
    </row>
    <row r="21" spans="1:5" x14ac:dyDescent="0.45">
      <c r="A21" s="2">
        <v>44044</v>
      </c>
      <c r="B21" s="3">
        <v>0.17364975810050964</v>
      </c>
      <c r="C21">
        <v>-276.90137185622041</v>
      </c>
      <c r="D21">
        <v>-98.808245307917886</v>
      </c>
      <c r="E21">
        <v>-95.7520024009427</v>
      </c>
    </row>
    <row r="22" spans="1:5" x14ac:dyDescent="0.45">
      <c r="A22" s="2">
        <v>44075</v>
      </c>
      <c r="B22" s="3">
        <v>0.19716794788837433</v>
      </c>
      <c r="C22">
        <v>-250.28798614745321</v>
      </c>
      <c r="D22">
        <v>-87.324695500000004</v>
      </c>
      <c r="E22">
        <v>-84.035129528158294</v>
      </c>
    </row>
    <row r="23" spans="1:5" x14ac:dyDescent="0.45">
      <c r="A23" s="2">
        <v>44105</v>
      </c>
      <c r="B23" s="3">
        <v>0.13076306879520416</v>
      </c>
      <c r="C23">
        <v>-83.128018078468656</v>
      </c>
      <c r="D23">
        <v>-29.678103818181821</v>
      </c>
      <c r="E23">
        <v>-29.402469391171991</v>
      </c>
    </row>
    <row r="24" spans="1:5" x14ac:dyDescent="0.45">
      <c r="A24" s="2">
        <v>44136</v>
      </c>
      <c r="B24" s="3">
        <v>0.13765887916088104</v>
      </c>
      <c r="C24">
        <v>-142.09543425385621</v>
      </c>
      <c r="D24">
        <v>-48.245897787878789</v>
      </c>
      <c r="E24">
        <v>-46.811261232876717</v>
      </c>
    </row>
    <row r="25" spans="1:5" x14ac:dyDescent="0.45">
      <c r="A25" s="2">
        <v>44166</v>
      </c>
      <c r="B25" s="3">
        <v>0.18885740637779236</v>
      </c>
      <c r="C25">
        <v>-221.1591355321149</v>
      </c>
      <c r="D25">
        <v>-79.207729032258072</v>
      </c>
      <c r="E25">
        <v>-77.138513109441746</v>
      </c>
    </row>
    <row r="26" spans="1:5" x14ac:dyDescent="0.45">
      <c r="A26" s="2">
        <v>44197</v>
      </c>
      <c r="B26" s="3">
        <v>0.28775006532669067</v>
      </c>
      <c r="C26">
        <v>-169.70086802031881</v>
      </c>
      <c r="D26">
        <v>-70.302507653958941</v>
      </c>
      <c r="E26">
        <v>-67.934746428045372</v>
      </c>
    </row>
    <row r="27" spans="1:5" x14ac:dyDescent="0.45">
      <c r="A27" s="2">
        <v>44228</v>
      </c>
      <c r="B27" s="3">
        <v>0.18512959778308868</v>
      </c>
      <c r="C27">
        <v>-111.64366446588291</v>
      </c>
      <c r="D27">
        <v>-43.64129183441559</v>
      </c>
      <c r="E27">
        <v>-42.024394439008468</v>
      </c>
    </row>
    <row r="28" spans="1:5" x14ac:dyDescent="0.45">
      <c r="A28" s="2">
        <v>44256</v>
      </c>
      <c r="B28" s="3">
        <v>0.33490225672721863</v>
      </c>
      <c r="C28">
        <v>-210.6153152081821</v>
      </c>
      <c r="D28">
        <v>-84.55598356304985</v>
      </c>
      <c r="E28">
        <v>-80.839599587568117</v>
      </c>
    </row>
    <row r="29" spans="1:5" x14ac:dyDescent="0.45">
      <c r="A29" s="2">
        <v>44287</v>
      </c>
      <c r="B29" s="3">
        <v>0.1976570338010788</v>
      </c>
      <c r="C29">
        <v>-154.58147035326061</v>
      </c>
      <c r="D29">
        <v>-61.487881272727272</v>
      </c>
      <c r="E29">
        <v>-59.194754550989352</v>
      </c>
    </row>
    <row r="30" spans="1:5" x14ac:dyDescent="0.45">
      <c r="A30" s="2">
        <v>44317</v>
      </c>
      <c r="B30" s="3">
        <v>0.26774391531944275</v>
      </c>
      <c r="C30">
        <v>-60.30901339807388</v>
      </c>
      <c r="D30">
        <v>-23.98440828445748</v>
      </c>
      <c r="E30">
        <v>-22.99526180586243</v>
      </c>
    </row>
    <row r="31" spans="1:5" x14ac:dyDescent="0.45">
      <c r="A31" s="2">
        <v>44348</v>
      </c>
      <c r="B31" s="3">
        <v>0.21203798055648804</v>
      </c>
      <c r="C31">
        <v>-104.5627764355698</v>
      </c>
      <c r="D31">
        <v>-40.871812969696968</v>
      </c>
      <c r="E31">
        <v>-39.195601659056322</v>
      </c>
    </row>
    <row r="32" spans="1:5" x14ac:dyDescent="0.45">
      <c r="A32" s="2">
        <v>44378</v>
      </c>
      <c r="B32" s="3">
        <v>0.1857096403837204</v>
      </c>
      <c r="C32">
        <v>-118.3746907392688</v>
      </c>
      <c r="D32">
        <v>-44.482986671554251</v>
      </c>
      <c r="E32">
        <v>-43.352004315804983</v>
      </c>
    </row>
    <row r="33" spans="1:5" x14ac:dyDescent="0.45">
      <c r="A33" s="2">
        <v>44409</v>
      </c>
      <c r="B33" s="3">
        <v>0.20002000033855438</v>
      </c>
      <c r="C33">
        <v>-105.1790845874396</v>
      </c>
      <c r="D33">
        <v>-41.503679560117298</v>
      </c>
      <c r="E33">
        <v>-40.118953115333618</v>
      </c>
    </row>
    <row r="34" spans="1:5" x14ac:dyDescent="0.45">
      <c r="A34" s="2">
        <v>44440</v>
      </c>
      <c r="B34" s="3">
        <v>0.27943727374076843</v>
      </c>
      <c r="C34">
        <v>-124.6736100886435</v>
      </c>
      <c r="D34">
        <v>-56.034237151515157</v>
      </c>
      <c r="E34">
        <v>-53.94970365296804</v>
      </c>
    </row>
    <row r="35" spans="1:5" x14ac:dyDescent="0.45">
      <c r="A35" s="2">
        <v>44470</v>
      </c>
      <c r="B35" s="3">
        <v>0.211962029337883</v>
      </c>
      <c r="C35">
        <v>-97.901735886799486</v>
      </c>
      <c r="D35">
        <v>-41.637755366568911</v>
      </c>
      <c r="E35">
        <v>-39.633317690381503</v>
      </c>
    </row>
    <row r="36" spans="1:5" x14ac:dyDescent="0.45">
      <c r="A36" s="2">
        <v>44501</v>
      </c>
      <c r="B36" s="3">
        <v>0.17552413046360016</v>
      </c>
      <c r="C36">
        <v>-74.97680219252662</v>
      </c>
      <c r="D36">
        <v>-28.223884984848489</v>
      </c>
      <c r="E36">
        <v>-27.05296380517504</v>
      </c>
    </row>
    <row r="37" spans="1:5" x14ac:dyDescent="0.45">
      <c r="A37" s="2">
        <v>44531</v>
      </c>
      <c r="B37" s="3">
        <v>0.16745318472385406</v>
      </c>
      <c r="C37">
        <v>-110.0426161159792</v>
      </c>
      <c r="D37">
        <v>-41.688101612903218</v>
      </c>
      <c r="E37">
        <v>-40.45318214759169</v>
      </c>
    </row>
    <row r="38" spans="1:5" x14ac:dyDescent="0.45">
      <c r="A38" s="2">
        <v>44562</v>
      </c>
      <c r="B38" s="3">
        <v>0.3454836905002594</v>
      </c>
      <c r="C38">
        <v>-139.32869739189121</v>
      </c>
      <c r="D38">
        <v>-64.506463563049849</v>
      </c>
      <c r="E38">
        <v>-61.245418559434377</v>
      </c>
    </row>
    <row r="39" spans="1:5" x14ac:dyDescent="0.45">
      <c r="A39" s="2">
        <v>44593</v>
      </c>
      <c r="B39" s="3">
        <v>0.31749334931373596</v>
      </c>
      <c r="C39">
        <v>-96.777045389657545</v>
      </c>
      <c r="D39">
        <v>-39.297984967532457</v>
      </c>
      <c r="E39">
        <v>-37.613884279191133</v>
      </c>
    </row>
    <row r="40" spans="1:5" x14ac:dyDescent="0.45">
      <c r="A40" s="2">
        <v>44621</v>
      </c>
      <c r="B40" s="3">
        <v>0.74716079235076904</v>
      </c>
      <c r="C40">
        <v>-177.9238348061904</v>
      </c>
      <c r="D40">
        <v>-75.558996114369506</v>
      </c>
      <c r="E40">
        <v>-72.063205170128157</v>
      </c>
    </row>
    <row r="41" spans="1:5" x14ac:dyDescent="0.45">
      <c r="A41" s="2">
        <v>44652</v>
      </c>
      <c r="B41" s="3">
        <v>0.31486526131629944</v>
      </c>
      <c r="C41">
        <v>-115.8127101354336</v>
      </c>
      <c r="D41">
        <v>-47.112719818181823</v>
      </c>
      <c r="E41">
        <v>-45.45057891933029</v>
      </c>
    </row>
    <row r="42" spans="1:5" x14ac:dyDescent="0.45">
      <c r="A42" s="2">
        <v>44682</v>
      </c>
      <c r="B42" s="3">
        <v>0.4622395932674408</v>
      </c>
      <c r="C42">
        <v>-211.91565167447021</v>
      </c>
      <c r="D42">
        <v>-85.025934393939394</v>
      </c>
      <c r="E42">
        <v>-81.550472876712334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E5DD-96B2-461F-AE36-674E106DACCB}">
  <dimension ref="A1:F42"/>
  <sheetViews>
    <sheetView tabSelected="1" topLeftCell="A13" workbookViewId="0">
      <selection activeCell="M13" sqref="M13"/>
    </sheetView>
  </sheetViews>
  <sheetFormatPr defaultRowHeight="14.25" x14ac:dyDescent="0.45"/>
  <sheetData>
    <row r="1" spans="1:6" x14ac:dyDescent="0.45">
      <c r="A1" t="s">
        <v>1</v>
      </c>
      <c r="B1" t="s">
        <v>5</v>
      </c>
      <c r="C1" s="1" t="s">
        <v>6</v>
      </c>
      <c r="D1" s="1" t="s">
        <v>7</v>
      </c>
    </row>
    <row r="2" spans="1:6" x14ac:dyDescent="0.45">
      <c r="A2" s="2">
        <v>43466</v>
      </c>
      <c r="B2" s="3">
        <f>-Sheet2!B2</f>
        <v>-0.45898851752281189</v>
      </c>
      <c r="C2">
        <f>STANDARDIZE(Sheet2!C2,AVERAGE(Sheet2!C$2:C$42),STDEV(Sheet2!C$2:C$42))</f>
        <v>0.61923610989587008</v>
      </c>
      <c r="D2">
        <f>STANDARDIZE(Sheet2!D2,AVERAGE(Sheet2!D$2:D$42),STDEV(Sheet2!D$2:D$42))</f>
        <v>0.57992623009588495</v>
      </c>
      <c r="F2">
        <f>CORREL(B2:B42,D2:D42)</f>
        <v>7.6826646389321782E-2</v>
      </c>
    </row>
    <row r="3" spans="1:6" x14ac:dyDescent="0.45">
      <c r="A3" s="2">
        <v>43497</v>
      </c>
      <c r="B3" s="3">
        <f>-Sheet2!B3</f>
        <v>-0.50514590740203857</v>
      </c>
      <c r="C3">
        <f>STANDARDIZE(Sheet2!C3,AVERAGE(Sheet2!C$2:C$42),STDEV(Sheet2!C$2:C$42))</f>
        <v>0.55645447058175324</v>
      </c>
      <c r="D3">
        <f>STANDARDIZE(Sheet2!D3,AVERAGE(Sheet2!D$2:D$42),STDEV(Sheet2!D$2:D$42))</f>
        <v>0.54921889263969659</v>
      </c>
    </row>
    <row r="4" spans="1:6" x14ac:dyDescent="0.45">
      <c r="A4" s="2">
        <v>43525</v>
      </c>
      <c r="B4" s="3">
        <f>-Sheet2!B4</f>
        <v>-0.5547676682472229</v>
      </c>
      <c r="C4">
        <f>STANDARDIZE(Sheet2!C4,AVERAGE(Sheet2!C$2:C$42),STDEV(Sheet2!C$2:C$42))</f>
        <v>-0.20236215466970017</v>
      </c>
      <c r="D4">
        <f>STANDARDIZE(Sheet2!D4,AVERAGE(Sheet2!D$2:D$42),STDEV(Sheet2!D$2:D$42))</f>
        <v>-0.32153672109886661</v>
      </c>
    </row>
    <row r="5" spans="1:6" x14ac:dyDescent="0.45">
      <c r="A5" s="2">
        <v>43556</v>
      </c>
      <c r="B5" s="3">
        <f>-Sheet2!B5</f>
        <v>-0.40737757086753845</v>
      </c>
      <c r="C5">
        <f>STANDARDIZE(Sheet2!C5,AVERAGE(Sheet2!C$2:C$42),STDEV(Sheet2!C$2:C$42))</f>
        <v>2.0202946534461634E-2</v>
      </c>
      <c r="D5">
        <f>STANDARDIZE(Sheet2!D5,AVERAGE(Sheet2!D$2:D$42),STDEV(Sheet2!D$2:D$42))</f>
        <v>-8.9055238835223871E-2</v>
      </c>
    </row>
    <row r="6" spans="1:6" x14ac:dyDescent="0.45">
      <c r="A6" s="2">
        <v>43586</v>
      </c>
      <c r="B6" s="3">
        <f>-Sheet2!B6</f>
        <v>-0.5501590371131897</v>
      </c>
      <c r="C6">
        <f>STANDARDIZE(Sheet2!C6,AVERAGE(Sheet2!C$2:C$42),STDEV(Sheet2!C$2:C$42))</f>
        <v>-0.43813842950161963</v>
      </c>
      <c r="D6">
        <f>STANDARDIZE(Sheet2!D6,AVERAGE(Sheet2!D$2:D$42),STDEV(Sheet2!D$2:D$42))</f>
        <v>-0.69794987827970179</v>
      </c>
    </row>
    <row r="7" spans="1:6" x14ac:dyDescent="0.45">
      <c r="A7" s="2">
        <v>43617</v>
      </c>
      <c r="B7" s="3">
        <f>-Sheet2!B7</f>
        <v>-0.42281472682952881</v>
      </c>
      <c r="C7">
        <f>STANDARDIZE(Sheet2!C7,AVERAGE(Sheet2!C$2:C$42),STDEV(Sheet2!C$2:C$42))</f>
        <v>0.11658572620181727</v>
      </c>
      <c r="D7">
        <f>STANDARDIZE(Sheet2!D7,AVERAGE(Sheet2!D$2:D$42),STDEV(Sheet2!D$2:D$42))</f>
        <v>0.25897077445497713</v>
      </c>
    </row>
    <row r="8" spans="1:6" x14ac:dyDescent="0.45">
      <c r="A8" s="2">
        <v>43647</v>
      </c>
      <c r="B8" s="3">
        <f>-Sheet2!B8</f>
        <v>-0.36279976367950439</v>
      </c>
      <c r="C8">
        <f>STANDARDIZE(Sheet2!C8,AVERAGE(Sheet2!C$2:C$42),STDEV(Sheet2!C$2:C$42))</f>
        <v>-0.83011796525445458</v>
      </c>
      <c r="D8">
        <f>STANDARDIZE(Sheet2!D8,AVERAGE(Sheet2!D$2:D$42),STDEV(Sheet2!D$2:D$42))</f>
        <v>-1.2228302769902784</v>
      </c>
    </row>
    <row r="9" spans="1:6" x14ac:dyDescent="0.45">
      <c r="A9" s="2">
        <v>43678</v>
      </c>
      <c r="B9" s="3">
        <f>-Sheet2!B9</f>
        <v>-0.48225820064544678</v>
      </c>
      <c r="C9">
        <f>STANDARDIZE(Sheet2!C9,AVERAGE(Sheet2!C$2:C$42),STDEV(Sheet2!C$2:C$42))</f>
        <v>-0.73092470298535284</v>
      </c>
      <c r="D9">
        <f>STANDARDIZE(Sheet2!D9,AVERAGE(Sheet2!D$2:D$42),STDEV(Sheet2!D$2:D$42))</f>
        <v>-1.1806046417712486</v>
      </c>
    </row>
    <row r="10" spans="1:6" x14ac:dyDescent="0.45">
      <c r="A10" s="2">
        <v>43709</v>
      </c>
      <c r="B10" s="3">
        <f>-Sheet2!B10</f>
        <v>-0.32773816585540771</v>
      </c>
      <c r="C10">
        <f>STANDARDIZE(Sheet2!C10,AVERAGE(Sheet2!C$2:C$42),STDEV(Sheet2!C$2:C$42))</f>
        <v>4.2398560628326962E-2</v>
      </c>
      <c r="D10">
        <f>STANDARDIZE(Sheet2!D10,AVERAGE(Sheet2!D$2:D$42),STDEV(Sheet2!D$2:D$42))</f>
        <v>4.0481297028041749E-2</v>
      </c>
    </row>
    <row r="11" spans="1:6" x14ac:dyDescent="0.45">
      <c r="A11" s="2">
        <v>43739</v>
      </c>
      <c r="B11" s="3">
        <f>-Sheet2!B11</f>
        <v>-0.23543260991573334</v>
      </c>
      <c r="C11">
        <f>STANDARDIZE(Sheet2!C11,AVERAGE(Sheet2!C$2:C$42),STDEV(Sheet2!C$2:C$42))</f>
        <v>0.11737727379884101</v>
      </c>
      <c r="D11">
        <f>STANDARDIZE(Sheet2!D11,AVERAGE(Sheet2!D$2:D$42),STDEV(Sheet2!D$2:D$42))</f>
        <v>1.15989385081488E-2</v>
      </c>
    </row>
    <row r="12" spans="1:6" x14ac:dyDescent="0.45">
      <c r="A12" s="2">
        <v>43770</v>
      </c>
      <c r="B12" s="3">
        <f>-Sheet2!B12</f>
        <v>-0.17165492475032806</v>
      </c>
      <c r="C12">
        <f>STANDARDIZE(Sheet2!C12,AVERAGE(Sheet2!C$2:C$42),STDEV(Sheet2!C$2:C$42))</f>
        <v>0.18319027216094327</v>
      </c>
      <c r="D12">
        <f>STANDARDIZE(Sheet2!D12,AVERAGE(Sheet2!D$2:D$42),STDEV(Sheet2!D$2:D$42))</f>
        <v>0.16780595868596107</v>
      </c>
    </row>
    <row r="13" spans="1:6" x14ac:dyDescent="0.45">
      <c r="A13" s="2">
        <v>43800</v>
      </c>
      <c r="B13" s="3">
        <f>-Sheet2!B13</f>
        <v>-0.27181828022003174</v>
      </c>
      <c r="C13">
        <f>STANDARDIZE(Sheet2!C13,AVERAGE(Sheet2!C$2:C$42),STDEV(Sheet2!C$2:C$42))</f>
        <v>0.37109896458721897</v>
      </c>
      <c r="D13">
        <f>STANDARDIZE(Sheet2!D13,AVERAGE(Sheet2!D$2:D$42),STDEV(Sheet2!D$2:D$42))</f>
        <v>0.24442866569448576</v>
      </c>
    </row>
    <row r="14" spans="1:6" x14ac:dyDescent="0.45">
      <c r="A14" s="2">
        <v>43831</v>
      </c>
      <c r="B14" s="3">
        <f>-Sheet2!B14</f>
        <v>-0.38826385140419006</v>
      </c>
      <c r="C14">
        <f>STANDARDIZE(Sheet2!C14,AVERAGE(Sheet2!C$2:C$42),STDEV(Sheet2!C$2:C$42))</f>
        <v>0.10259633221796495</v>
      </c>
      <c r="D14">
        <f>STANDARDIZE(Sheet2!D14,AVERAGE(Sheet2!D$2:D$42),STDEV(Sheet2!D$2:D$42))</f>
        <v>0.1758538230814887</v>
      </c>
    </row>
    <row r="15" spans="1:6" x14ac:dyDescent="0.45">
      <c r="A15" s="2">
        <v>43862</v>
      </c>
      <c r="B15" s="3">
        <f>-Sheet2!B15</f>
        <v>-0.20062416791915894</v>
      </c>
      <c r="C15">
        <f>STANDARDIZE(Sheet2!C15,AVERAGE(Sheet2!C$2:C$42),STDEV(Sheet2!C$2:C$42))</f>
        <v>-2.3599117008650929</v>
      </c>
      <c r="D15">
        <f>STANDARDIZE(Sheet2!D15,AVERAGE(Sheet2!D$2:D$42),STDEV(Sheet2!D$2:D$42))</f>
        <v>-1.9591955334041884</v>
      </c>
    </row>
    <row r="16" spans="1:6" x14ac:dyDescent="0.45">
      <c r="A16" s="2">
        <v>43891</v>
      </c>
      <c r="B16" s="3">
        <f>-Sheet2!B16</f>
        <v>-0.26509320735931396</v>
      </c>
      <c r="C16">
        <f>STANDARDIZE(Sheet2!C16,AVERAGE(Sheet2!C$2:C$42),STDEV(Sheet2!C$2:C$42))</f>
        <v>-3.2778453708428112</v>
      </c>
      <c r="D16">
        <f>STANDARDIZE(Sheet2!D16,AVERAGE(Sheet2!D$2:D$42),STDEV(Sheet2!D$2:D$42))</f>
        <v>-3.0945987589247856</v>
      </c>
    </row>
    <row r="17" spans="1:4" x14ac:dyDescent="0.45">
      <c r="A17" s="2">
        <v>43922</v>
      </c>
      <c r="B17" s="3">
        <f>-Sheet2!B17</f>
        <v>-0.12070006132125854</v>
      </c>
      <c r="C17">
        <f>STANDARDIZE(Sheet2!C17,AVERAGE(Sheet2!C$2:C$42),STDEV(Sheet2!C$2:C$42))</f>
        <v>-1.6736282865331982</v>
      </c>
      <c r="D17">
        <f>STANDARDIZE(Sheet2!D17,AVERAGE(Sheet2!D$2:D$42),STDEV(Sheet2!D$2:D$42))</f>
        <v>-1.4896550495783227</v>
      </c>
    </row>
    <row r="18" spans="1:4" x14ac:dyDescent="0.45">
      <c r="A18" s="2">
        <v>43952</v>
      </c>
      <c r="B18" s="3">
        <f>-Sheet2!B18</f>
        <v>-0.19376352429389954</v>
      </c>
      <c r="C18">
        <f>STANDARDIZE(Sheet2!C18,AVERAGE(Sheet2!C$2:C$42),STDEV(Sheet2!C$2:C$42))</f>
        <v>-1.2143230777281875</v>
      </c>
      <c r="D18">
        <f>STANDARDIZE(Sheet2!D18,AVERAGE(Sheet2!D$2:D$42),STDEV(Sheet2!D$2:D$42))</f>
        <v>-1.0483050872679629</v>
      </c>
    </row>
    <row r="19" spans="1:4" x14ac:dyDescent="0.45">
      <c r="A19" s="2">
        <v>43983</v>
      </c>
      <c r="B19" s="3">
        <f>-Sheet2!B19</f>
        <v>-0.26762643456459045</v>
      </c>
      <c r="C19">
        <f>STANDARDIZE(Sheet2!C19,AVERAGE(Sheet2!C$2:C$42),STDEV(Sheet2!C$2:C$42))</f>
        <v>-2.5086628705725551</v>
      </c>
      <c r="D19">
        <f>STANDARDIZE(Sheet2!D19,AVERAGE(Sheet2!D$2:D$42),STDEV(Sheet2!D$2:D$42))</f>
        <v>-2.7923483084488985</v>
      </c>
    </row>
    <row r="20" spans="1:4" x14ac:dyDescent="0.45">
      <c r="A20" s="2">
        <v>44013</v>
      </c>
      <c r="B20" s="3">
        <f>-Sheet2!B20</f>
        <v>-0.27453979849815369</v>
      </c>
      <c r="C20">
        <f>STANDARDIZE(Sheet2!C20,AVERAGE(Sheet2!C$2:C$42),STDEV(Sheet2!C$2:C$42))</f>
        <v>-0.93251262082685749</v>
      </c>
      <c r="D20">
        <f>STANDARDIZE(Sheet2!D20,AVERAGE(Sheet2!D$2:D$42),STDEV(Sheet2!D$2:D$42))</f>
        <v>-0.8771209138101842</v>
      </c>
    </row>
    <row r="21" spans="1:4" x14ac:dyDescent="0.45">
      <c r="A21" s="2">
        <v>44044</v>
      </c>
      <c r="B21" s="3">
        <f>-Sheet2!B21</f>
        <v>-0.17364975810050964</v>
      </c>
      <c r="C21">
        <f>STANDARDIZE(Sheet2!C21,AVERAGE(Sheet2!C$2:C$42),STDEV(Sheet2!C$2:C$42))</f>
        <v>-0.35034036169178073</v>
      </c>
      <c r="D21">
        <f>STANDARDIZE(Sheet2!D21,AVERAGE(Sheet2!D$2:D$42),STDEV(Sheet2!D$2:D$42))</f>
        <v>-0.17141791919500099</v>
      </c>
    </row>
    <row r="22" spans="1:4" x14ac:dyDescent="0.45">
      <c r="A22" s="2">
        <v>44075</v>
      </c>
      <c r="B22" s="3">
        <f>-Sheet2!B22</f>
        <v>-0.19716794788837433</v>
      </c>
      <c r="C22">
        <f>STANDARDIZE(Sheet2!C22,AVERAGE(Sheet2!C$2:C$42),STDEV(Sheet2!C$2:C$42))</f>
        <v>-0.1712198725517739</v>
      </c>
      <c r="D22">
        <f>STANDARDIZE(Sheet2!D22,AVERAGE(Sheet2!D$2:D$42),STDEV(Sheet2!D$2:D$42))</f>
        <v>3.0223111139136217E-2</v>
      </c>
    </row>
    <row r="23" spans="1:4" x14ac:dyDescent="0.45">
      <c r="A23" s="2">
        <v>44105</v>
      </c>
      <c r="B23" s="3">
        <f>-Sheet2!B23</f>
        <v>-0.13076306879520416</v>
      </c>
      <c r="C23">
        <f>STANDARDIZE(Sheet2!C23,AVERAGE(Sheet2!C$2:C$42),STDEV(Sheet2!C$2:C$42))</f>
        <v>0.95384461840778045</v>
      </c>
      <c r="D23">
        <f>STANDARDIZE(Sheet2!D23,AVERAGE(Sheet2!D$2:D$42),STDEV(Sheet2!D$2:D$42))</f>
        <v>1.042446538250364</v>
      </c>
    </row>
    <row r="24" spans="1:4" x14ac:dyDescent="0.45">
      <c r="A24" s="2">
        <v>44136</v>
      </c>
      <c r="B24" s="3">
        <f>-Sheet2!B24</f>
        <v>-0.13765887916088104</v>
      </c>
      <c r="C24">
        <f>STANDARDIZE(Sheet2!C24,AVERAGE(Sheet2!C$2:C$42),STDEV(Sheet2!C$2:C$42))</f>
        <v>0.55696642544722585</v>
      </c>
      <c r="D24">
        <f>STANDARDIZE(Sheet2!D24,AVERAGE(Sheet2!D$2:D$42),STDEV(Sheet2!D$2:D$42))</f>
        <v>0.71641241381088316</v>
      </c>
    </row>
    <row r="25" spans="1:4" x14ac:dyDescent="0.45">
      <c r="A25" s="2">
        <v>44166</v>
      </c>
      <c r="B25" s="3">
        <f>-Sheet2!B25</f>
        <v>-0.18885740637779236</v>
      </c>
      <c r="C25">
        <f>STANDARDIZE(Sheet2!C25,AVERAGE(Sheet2!C$2:C$42),STDEV(Sheet2!C$2:C$42))</f>
        <v>2.4830867756204744E-2</v>
      </c>
      <c r="D25">
        <f>STANDARDIZE(Sheet2!D25,AVERAGE(Sheet2!D$2:D$42),STDEV(Sheet2!D$2:D$42))</f>
        <v>0.17274990025225653</v>
      </c>
    </row>
    <row r="26" spans="1:4" x14ac:dyDescent="0.45">
      <c r="A26" s="2">
        <v>44197</v>
      </c>
      <c r="B26" s="3">
        <f>-Sheet2!B26</f>
        <v>-0.28775006532669067</v>
      </c>
      <c r="C26">
        <f>STANDARDIZE(Sheet2!C26,AVERAGE(Sheet2!C$2:C$42),STDEV(Sheet2!C$2:C$42))</f>
        <v>0.37116899052928076</v>
      </c>
      <c r="D26">
        <f>STANDARDIZE(Sheet2!D26,AVERAGE(Sheet2!D$2:D$42),STDEV(Sheet2!D$2:D$42))</f>
        <v>0.32911775201493365</v>
      </c>
    </row>
    <row r="27" spans="1:4" x14ac:dyDescent="0.45">
      <c r="A27" s="2">
        <v>44228</v>
      </c>
      <c r="B27" s="3">
        <f>-Sheet2!B27</f>
        <v>-0.18512959778308868</v>
      </c>
      <c r="C27">
        <f>STANDARDIZE(Sheet2!C27,AVERAGE(Sheet2!C$2:C$42),STDEV(Sheet2!C$2:C$42))</f>
        <v>0.76192102834105391</v>
      </c>
      <c r="D27">
        <f>STANDARDIZE(Sheet2!D27,AVERAGE(Sheet2!D$2:D$42),STDEV(Sheet2!D$2:D$42))</f>
        <v>0.79726524279402899</v>
      </c>
    </row>
    <row r="28" spans="1:4" x14ac:dyDescent="0.45">
      <c r="A28" s="2">
        <v>44256</v>
      </c>
      <c r="B28" s="3">
        <f>-Sheet2!B28</f>
        <v>-0.33490225672721863</v>
      </c>
      <c r="C28">
        <f>STANDARDIZE(Sheet2!C28,AVERAGE(Sheet2!C$2:C$42),STDEV(Sheet2!C$2:C$42))</f>
        <v>9.5795692543793762E-2</v>
      </c>
      <c r="D28">
        <f>STANDARDIZE(Sheet2!D28,AVERAGE(Sheet2!D$2:D$42),STDEV(Sheet2!D$2:D$42))</f>
        <v>7.8839256582256684E-2</v>
      </c>
    </row>
    <row r="29" spans="1:4" x14ac:dyDescent="0.45">
      <c r="A29" s="2">
        <v>44287</v>
      </c>
      <c r="B29" s="3">
        <f>-Sheet2!B29</f>
        <v>-0.1976570338010788</v>
      </c>
      <c r="C29">
        <f>STANDARDIZE(Sheet2!C29,AVERAGE(Sheet2!C$2:C$42),STDEV(Sheet2!C$2:C$42))</f>
        <v>0.47292958330998763</v>
      </c>
      <c r="D29">
        <f>STANDARDIZE(Sheet2!D29,AVERAGE(Sheet2!D$2:D$42),STDEV(Sheet2!D$2:D$42))</f>
        <v>0.48389483534299255</v>
      </c>
    </row>
    <row r="30" spans="1:4" x14ac:dyDescent="0.45">
      <c r="A30" s="2">
        <v>44317</v>
      </c>
      <c r="B30" s="3">
        <f>-Sheet2!B30</f>
        <v>-0.26774391531944275</v>
      </c>
      <c r="C30">
        <f>STANDARDIZE(Sheet2!C30,AVERAGE(Sheet2!C$2:C$42),STDEV(Sheet2!C$2:C$42))</f>
        <v>1.1074271548339492</v>
      </c>
      <c r="D30">
        <f>STANDARDIZE(Sheet2!D30,AVERAGE(Sheet2!D$2:D$42),STDEV(Sheet2!D$2:D$42))</f>
        <v>1.1424228219808052</v>
      </c>
    </row>
    <row r="31" spans="1:4" x14ac:dyDescent="0.45">
      <c r="A31" s="2">
        <v>44348</v>
      </c>
      <c r="B31" s="3">
        <f>-Sheet2!B31</f>
        <v>-0.21203798055648804</v>
      </c>
      <c r="C31">
        <f>STANDARDIZE(Sheet2!C31,AVERAGE(Sheet2!C$2:C$42),STDEV(Sheet2!C$2:C$42))</f>
        <v>0.80957870487326156</v>
      </c>
      <c r="D31">
        <f>STANDARDIZE(Sheet2!D31,AVERAGE(Sheet2!D$2:D$42),STDEV(Sheet2!D$2:D$42))</f>
        <v>0.84589485481394955</v>
      </c>
    </row>
    <row r="32" spans="1:4" x14ac:dyDescent="0.45">
      <c r="A32" s="2">
        <v>44378</v>
      </c>
      <c r="B32" s="3">
        <f>-Sheet2!B32</f>
        <v>-0.1857096403837204</v>
      </c>
      <c r="C32">
        <f>STANDARDIZE(Sheet2!C32,AVERAGE(Sheet2!C$2:C$42),STDEV(Sheet2!C$2:C$42))</f>
        <v>0.71661808448803122</v>
      </c>
      <c r="D32">
        <f>STANDARDIZE(Sheet2!D32,AVERAGE(Sheet2!D$2:D$42),STDEV(Sheet2!D$2:D$42))</f>
        <v>0.78248582205510897</v>
      </c>
    </row>
    <row r="33" spans="1:4" x14ac:dyDescent="0.45">
      <c r="A33" s="2">
        <v>44409</v>
      </c>
      <c r="B33" s="3">
        <f>-Sheet2!B33</f>
        <v>-0.20002000033855438</v>
      </c>
      <c r="C33">
        <f>STANDARDIZE(Sheet2!C33,AVERAGE(Sheet2!C$2:C$42),STDEV(Sheet2!C$2:C$42))</f>
        <v>0.80543066377725303</v>
      </c>
      <c r="D33">
        <f>STANDARDIZE(Sheet2!D33,AVERAGE(Sheet2!D$2:D$42),STDEV(Sheet2!D$2:D$42))</f>
        <v>0.83479983346103792</v>
      </c>
    </row>
    <row r="34" spans="1:4" x14ac:dyDescent="0.45">
      <c r="A34" s="2">
        <v>44440</v>
      </c>
      <c r="B34" s="3">
        <f>-Sheet2!B34</f>
        <v>-0.27943727374076843</v>
      </c>
      <c r="C34">
        <f>STANDARDIZE(Sheet2!C34,AVERAGE(Sheet2!C$2:C$42),STDEV(Sheet2!C$2:C$42))</f>
        <v>0.674223421619497</v>
      </c>
      <c r="D34">
        <f>STANDARDIZE(Sheet2!D34,AVERAGE(Sheet2!D$2:D$42),STDEV(Sheet2!D$2:D$42))</f>
        <v>0.57965602748923073</v>
      </c>
    </row>
    <row r="35" spans="1:4" x14ac:dyDescent="0.45">
      <c r="A35" s="2">
        <v>44470</v>
      </c>
      <c r="B35" s="3">
        <f>-Sheet2!B35</f>
        <v>-0.211962029337883</v>
      </c>
      <c r="C35">
        <f>STANDARDIZE(Sheet2!C35,AVERAGE(Sheet2!C$2:C$42),STDEV(Sheet2!C$2:C$42))</f>
        <v>0.85441061218237579</v>
      </c>
      <c r="D35">
        <f>STANDARDIZE(Sheet2!D35,AVERAGE(Sheet2!D$2:D$42),STDEV(Sheet2!D$2:D$42))</f>
        <v>0.83244558027208559</v>
      </c>
    </row>
    <row r="36" spans="1:4" x14ac:dyDescent="0.45">
      <c r="A36" s="2">
        <v>44501</v>
      </c>
      <c r="B36" s="3">
        <f>-Sheet2!B36</f>
        <v>-0.17552413046360016</v>
      </c>
      <c r="C36">
        <f>STANDARDIZE(Sheet2!C36,AVERAGE(Sheet2!C$2:C$42),STDEV(Sheet2!C$2:C$42))</f>
        <v>1.0087061002407645</v>
      </c>
      <c r="D36">
        <f>STANDARDIZE(Sheet2!D36,AVERAGE(Sheet2!D$2:D$42),STDEV(Sheet2!D$2:D$42))</f>
        <v>1.067981341407003</v>
      </c>
    </row>
    <row r="37" spans="1:4" x14ac:dyDescent="0.45">
      <c r="A37" s="2">
        <v>44531</v>
      </c>
      <c r="B37" s="3">
        <f>-Sheet2!B37</f>
        <v>-0.16745318472385406</v>
      </c>
      <c r="C37">
        <f>STANDARDIZE(Sheet2!C37,AVERAGE(Sheet2!C$2:C$42),STDEV(Sheet2!C$2:C$42))</f>
        <v>0.77269682991360922</v>
      </c>
      <c r="D37">
        <f>STANDARDIZE(Sheet2!D37,AVERAGE(Sheet2!D$2:D$42),STDEV(Sheet2!D$2:D$42))</f>
        <v>0.83156154448575526</v>
      </c>
    </row>
    <row r="38" spans="1:4" x14ac:dyDescent="0.45">
      <c r="A38" s="2">
        <v>44562</v>
      </c>
      <c r="B38" s="3">
        <f>-Sheet2!B38</f>
        <v>-0.3454836905002594</v>
      </c>
      <c r="C38">
        <f>STANDARDIZE(Sheet2!C38,AVERAGE(Sheet2!C$2:C$42),STDEV(Sheet2!C$2:C$42))</f>
        <v>0.57558785398172452</v>
      </c>
      <c r="D38">
        <f>STANDARDIZE(Sheet2!D38,AVERAGE(Sheet2!D$2:D$42),STDEV(Sheet2!D$2:D$42))</f>
        <v>0.43089118635377954</v>
      </c>
    </row>
    <row r="39" spans="1:4" x14ac:dyDescent="0.45">
      <c r="A39" s="2">
        <v>44593</v>
      </c>
      <c r="B39" s="3">
        <f>-Sheet2!B39</f>
        <v>-0.31749334931373596</v>
      </c>
      <c r="C39">
        <f>STANDARDIZE(Sheet2!C39,AVERAGE(Sheet2!C$2:C$42),STDEV(Sheet2!C$2:C$42))</f>
        <v>0.86198030339655385</v>
      </c>
      <c r="D39">
        <f>STANDARDIZE(Sheet2!D39,AVERAGE(Sheet2!D$2:D$42),STDEV(Sheet2!D$2:D$42))</f>
        <v>0.87352988973201628</v>
      </c>
    </row>
    <row r="40" spans="1:4" x14ac:dyDescent="0.45">
      <c r="A40" s="2">
        <v>44621</v>
      </c>
      <c r="B40" s="3">
        <f>-Sheet2!B40</f>
        <v>-0.74716079235076904</v>
      </c>
      <c r="C40">
        <f>STANDARDIZE(Sheet2!C40,AVERAGE(Sheet2!C$2:C$42),STDEV(Sheet2!C$2:C$42))</f>
        <v>0.31582459169985511</v>
      </c>
      <c r="D40">
        <f>STANDARDIZE(Sheet2!D40,AVERAGE(Sheet2!D$2:D$42),STDEV(Sheet2!D$2:D$42))</f>
        <v>0.2368184397965224</v>
      </c>
    </row>
    <row r="41" spans="1:4" x14ac:dyDescent="0.45">
      <c r="A41" s="2">
        <v>44652</v>
      </c>
      <c r="B41" s="3">
        <f>-Sheet2!B41</f>
        <v>-0.31486526131629944</v>
      </c>
      <c r="C41">
        <f>STANDARDIZE(Sheet2!C41,AVERAGE(Sheet2!C$2:C$42),STDEV(Sheet2!C$2:C$42))</f>
        <v>0.73386140797749588</v>
      </c>
      <c r="D41">
        <f>STANDARDIZE(Sheet2!D41,AVERAGE(Sheet2!D$2:D$42),STDEV(Sheet2!D$2:D$42))</f>
        <v>0.73631002188361472</v>
      </c>
    </row>
    <row r="42" spans="1:4" x14ac:dyDescent="0.45">
      <c r="A42" s="2">
        <v>44682</v>
      </c>
      <c r="B42" s="3">
        <f>-Sheet2!B42</f>
        <v>-0.4622395932674408</v>
      </c>
      <c r="C42">
        <f>STANDARDIZE(Sheet2!C42,AVERAGE(Sheet2!C$2:C$42),STDEV(Sheet2!C$2:C$42))</f>
        <v>8.704382209645771E-2</v>
      </c>
      <c r="D42">
        <f>STANDARDIZE(Sheet2!D42,AVERAGE(Sheet2!D$2:D$42),STDEV(Sheet2!D$2:D$42))</f>
        <v>7.0587333498193086E-2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2022-06-30T11:20:57Z</dcterms:created>
  <dcterms:modified xsi:type="dcterms:W3CDTF">2022-07-01T08:14:30Z</dcterms:modified>
</cp:coreProperties>
</file>