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9A2237AA-EFE3-4CFF-8E41-37ADC9470936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G4" i="1"/>
  <c r="G3" i="1"/>
  <c r="G2" i="1"/>
</calcChain>
</file>

<file path=xl/sharedStrings.xml><?xml version="1.0" encoding="utf-8"?>
<sst xmlns="http://schemas.openxmlformats.org/spreadsheetml/2006/main" count="11" uniqueCount="10">
  <si>
    <t>CWT_ID</t>
  </si>
  <si>
    <t>month</t>
  </si>
  <si>
    <t>GPRC_ZAF</t>
  </si>
  <si>
    <t>MEDIA</t>
  </si>
  <si>
    <t>STDEV</t>
  </si>
  <si>
    <t>CORR</t>
  </si>
  <si>
    <t>p-value</t>
  </si>
  <si>
    <t>SOUTH AFRICA</t>
  </si>
  <si>
    <t>CWT_stand</t>
  </si>
  <si>
    <t xml:space="preserve"> -GPRC_ZAF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</si>
</sst>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GPRC_ZAF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4.2498938739299802E-2</c:v>
                </c:pt>
                <c:pt idx="1">
                  <c:v>1.4162968844175339E-2</c:v>
                </c:pt>
                <c:pt idx="2">
                  <c:v>2.0855927839875221E-2</c:v>
                </c:pt>
                <c:pt idx="3">
                  <c:v>3.1336735934019089E-2</c:v>
                </c:pt>
                <c:pt idx="4">
                  <c:v>2.1490586921572685E-2</c:v>
                </c:pt>
                <c:pt idx="5">
                  <c:v>5.1773231476545334E-2</c:v>
                </c:pt>
                <c:pt idx="6">
                  <c:v>2.6546323671936989E-2</c:v>
                </c:pt>
                <c:pt idx="7">
                  <c:v>4.4243872165679932E-2</c:v>
                </c:pt>
                <c:pt idx="8">
                  <c:v>2.6573365554213524E-2</c:v>
                </c:pt>
                <c:pt idx="9">
                  <c:v>2.9429076239466667E-2</c:v>
                </c:pt>
                <c:pt idx="10">
                  <c:v>2.6408450677990913E-2</c:v>
                </c:pt>
                <c:pt idx="11">
                  <c:v>1.456169318407774E-2</c:v>
                </c:pt>
                <c:pt idx="12">
                  <c:v>1.3236267492175102E-2</c:v>
                </c:pt>
                <c:pt idx="13">
                  <c:v>4.9041461199522018E-2</c:v>
                </c:pt>
                <c:pt idx="14">
                  <c:v>3.4205574542284012E-2</c:v>
                </c:pt>
                <c:pt idx="15">
                  <c:v>3.7138480693101883E-2</c:v>
                </c:pt>
                <c:pt idx="16">
                  <c:v>1.3518384657800198E-2</c:v>
                </c:pt>
                <c:pt idx="17">
                  <c:v>8.3056479692459106E-2</c:v>
                </c:pt>
                <c:pt idx="18">
                  <c:v>1.800261065363884E-2</c:v>
                </c:pt>
                <c:pt idx="19">
                  <c:v>2.6715347543358803E-2</c:v>
                </c:pt>
                <c:pt idx="20">
                  <c:v>3.1367629766464233E-2</c:v>
                </c:pt>
                <c:pt idx="21">
                  <c:v>4.2181634344160557E-3</c:v>
                </c:pt>
                <c:pt idx="22">
                  <c:v>7.8006699681282043E-2</c:v>
                </c:pt>
                <c:pt idx="23">
                  <c:v>4.249291867017746E-2</c:v>
                </c:pt>
                <c:pt idx="24">
                  <c:v>5.0242073833942413E-2</c:v>
                </c:pt>
                <c:pt idx="25">
                  <c:v>3.0021015554666519E-2</c:v>
                </c:pt>
                <c:pt idx="26">
                  <c:v>9.95655357837677E-2</c:v>
                </c:pt>
                <c:pt idx="27">
                  <c:v>7.7134452760219574E-2</c:v>
                </c:pt>
                <c:pt idx="28">
                  <c:v>4.2275354266166687E-2</c:v>
                </c:pt>
                <c:pt idx="29">
                  <c:v>4.8190448433160782E-2</c:v>
                </c:pt>
                <c:pt idx="30">
                  <c:v>3.7141930311918259E-2</c:v>
                </c:pt>
                <c:pt idx="31">
                  <c:v>3.0003000050783157E-2</c:v>
                </c:pt>
                <c:pt idx="32">
                  <c:v>1.927153579890728E-2</c:v>
                </c:pt>
                <c:pt idx="33">
                  <c:v>4.1470833122730255E-2</c:v>
                </c:pt>
                <c:pt idx="34">
                  <c:v>9.2637740075588226E-2</c:v>
                </c:pt>
                <c:pt idx="35">
                  <c:v>5.5817730724811554E-2</c:v>
                </c:pt>
                <c:pt idx="36">
                  <c:v>6.5091125667095184E-2</c:v>
                </c:pt>
                <c:pt idx="37">
                  <c:v>5.7252902537584305E-2</c:v>
                </c:pt>
                <c:pt idx="38">
                  <c:v>0.10460250824689865</c:v>
                </c:pt>
                <c:pt idx="39">
                  <c:v>8.4771417081356049E-2</c:v>
                </c:pt>
                <c:pt idx="40">
                  <c:v>3.90625E-2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5D-4F8B-9517-05109663F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83680"/>
        <c:axId val="91773312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-135.14075281064549</c:v>
                </c:pt>
                <c:pt idx="1">
                  <c:v>-92.552235048410211</c:v>
                </c:pt>
                <c:pt idx="2">
                  <c:v>-116.5975293852247</c:v>
                </c:pt>
                <c:pt idx="3">
                  <c:v>-135.31070710020941</c:v>
                </c:pt>
                <c:pt idx="4">
                  <c:v>-92.840807169028992</c:v>
                </c:pt>
                <c:pt idx="5">
                  <c:v>-76.358707578362626</c:v>
                </c:pt>
                <c:pt idx="6">
                  <c:v>-91.128386436876028</c:v>
                </c:pt>
                <c:pt idx="7">
                  <c:v>-77.701543202591338</c:v>
                </c:pt>
                <c:pt idx="8">
                  <c:v>-319.47959080938278</c:v>
                </c:pt>
                <c:pt idx="9">
                  <c:v>-96.006076708952151</c:v>
                </c:pt>
                <c:pt idx="10">
                  <c:v>-85.831211729489951</c:v>
                </c:pt>
                <c:pt idx="11">
                  <c:v>-74.277034070669572</c:v>
                </c:pt>
                <c:pt idx="12">
                  <c:v>-83.606812724698145</c:v>
                </c:pt>
                <c:pt idx="13">
                  <c:v>-150.4414313432996</c:v>
                </c:pt>
                <c:pt idx="14">
                  <c:v>-327.53660705274802</c:v>
                </c:pt>
                <c:pt idx="15">
                  <c:v>-296.87451096164062</c:v>
                </c:pt>
                <c:pt idx="16">
                  <c:v>-212.62851805138621</c:v>
                </c:pt>
                <c:pt idx="17">
                  <c:v>-358.42323916399999</c:v>
                </c:pt>
                <c:pt idx="18">
                  <c:v>-341.09986500965169</c:v>
                </c:pt>
                <c:pt idx="19">
                  <c:v>-204.53293495690249</c:v>
                </c:pt>
                <c:pt idx="20">
                  <c:v>-132.65668222150009</c:v>
                </c:pt>
                <c:pt idx="21">
                  <c:v>-61.383322751048141</c:v>
                </c:pt>
                <c:pt idx="22">
                  <c:v>-90.483861677340045</c:v>
                </c:pt>
                <c:pt idx="23">
                  <c:v>-151.775017778734</c:v>
                </c:pt>
                <c:pt idx="24">
                  <c:v>-208.26722177142759</c:v>
                </c:pt>
                <c:pt idx="25">
                  <c:v>-219.46220354729721</c:v>
                </c:pt>
                <c:pt idx="26">
                  <c:v>-152.03178471041079</c:v>
                </c:pt>
                <c:pt idx="27">
                  <c:v>-131.2544443895107</c:v>
                </c:pt>
                <c:pt idx="28">
                  <c:v>-103.3346085456229</c:v>
                </c:pt>
                <c:pt idx="29">
                  <c:v>-123.9141423331743</c:v>
                </c:pt>
                <c:pt idx="30">
                  <c:v>-406.85069363626599</c:v>
                </c:pt>
                <c:pt idx="31">
                  <c:v>-79.983700057338226</c:v>
                </c:pt>
                <c:pt idx="32">
                  <c:v>-104.12260812933501</c:v>
                </c:pt>
                <c:pt idx="33">
                  <c:v>-73.914278670830655</c:v>
                </c:pt>
                <c:pt idx="34">
                  <c:v>-310.37833545232229</c:v>
                </c:pt>
                <c:pt idx="35">
                  <c:v>-236.99933283222151</c:v>
                </c:pt>
                <c:pt idx="36">
                  <c:v>-105.1259304367791</c:v>
                </c:pt>
                <c:pt idx="37">
                  <c:v>-90.112235834247159</c:v>
                </c:pt>
                <c:pt idx="38">
                  <c:v>-94.915018963643604</c:v>
                </c:pt>
                <c:pt idx="39">
                  <c:v>-121.06687582444221</c:v>
                </c:pt>
                <c:pt idx="40">
                  <c:v>-65.348112967156311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D-4F8B-9517-05109663F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76480"/>
        <c:axId val="91782048"/>
      </c:lineChart>
      <c:dateAx>
        <c:axId val="88283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312"/>
        <c:crosses val="autoZero"/>
        <c:auto val="1"/>
        <c:lblOffset val="100"/>
        <c:baseTimeUnit val="months"/>
      </c:dateAx>
      <c:valAx>
        <c:axId val="9177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3680"/>
        <c:crosses val="autoZero"/>
        <c:crossBetween val="between"/>
      </c:valAx>
      <c:valAx>
        <c:axId val="917820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6480"/>
        <c:crosses val="max"/>
        <c:crossBetween val="between"/>
      </c:valAx>
      <c:dateAx>
        <c:axId val="882764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17820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             CORR=-0,10156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GPRC_ZAF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4.2498938739299802E-2</c:v>
                </c:pt>
                <c:pt idx="1">
                  <c:v>1.4162968844175339E-2</c:v>
                </c:pt>
                <c:pt idx="2">
                  <c:v>2.0855927839875221E-2</c:v>
                </c:pt>
                <c:pt idx="3">
                  <c:v>3.1336735934019089E-2</c:v>
                </c:pt>
                <c:pt idx="4">
                  <c:v>2.1490586921572685E-2</c:v>
                </c:pt>
                <c:pt idx="5">
                  <c:v>5.1773231476545334E-2</c:v>
                </c:pt>
                <c:pt idx="6">
                  <c:v>2.6546323671936989E-2</c:v>
                </c:pt>
                <c:pt idx="7">
                  <c:v>4.4243872165679932E-2</c:v>
                </c:pt>
                <c:pt idx="8">
                  <c:v>2.6573365554213524E-2</c:v>
                </c:pt>
                <c:pt idx="9">
                  <c:v>2.9429076239466667E-2</c:v>
                </c:pt>
                <c:pt idx="10">
                  <c:v>2.6408450677990913E-2</c:v>
                </c:pt>
                <c:pt idx="11">
                  <c:v>1.456169318407774E-2</c:v>
                </c:pt>
                <c:pt idx="12">
                  <c:v>1.3236267492175102E-2</c:v>
                </c:pt>
                <c:pt idx="13">
                  <c:v>4.9041461199522018E-2</c:v>
                </c:pt>
                <c:pt idx="14">
                  <c:v>3.4205574542284012E-2</c:v>
                </c:pt>
                <c:pt idx="15">
                  <c:v>3.7138480693101883E-2</c:v>
                </c:pt>
                <c:pt idx="16">
                  <c:v>1.3518384657800198E-2</c:v>
                </c:pt>
                <c:pt idx="17">
                  <c:v>8.3056479692459106E-2</c:v>
                </c:pt>
                <c:pt idx="18">
                  <c:v>1.800261065363884E-2</c:v>
                </c:pt>
                <c:pt idx="19">
                  <c:v>2.6715347543358803E-2</c:v>
                </c:pt>
                <c:pt idx="20">
                  <c:v>3.1367629766464233E-2</c:v>
                </c:pt>
                <c:pt idx="21">
                  <c:v>4.2181634344160557E-3</c:v>
                </c:pt>
                <c:pt idx="22">
                  <c:v>7.8006699681282043E-2</c:v>
                </c:pt>
                <c:pt idx="23">
                  <c:v>4.249291867017746E-2</c:v>
                </c:pt>
                <c:pt idx="24">
                  <c:v>5.0242073833942413E-2</c:v>
                </c:pt>
                <c:pt idx="25">
                  <c:v>3.0021015554666519E-2</c:v>
                </c:pt>
                <c:pt idx="26">
                  <c:v>9.95655357837677E-2</c:v>
                </c:pt>
                <c:pt idx="27">
                  <c:v>7.7134452760219574E-2</c:v>
                </c:pt>
                <c:pt idx="28">
                  <c:v>4.2275354266166687E-2</c:v>
                </c:pt>
                <c:pt idx="29">
                  <c:v>4.8190448433160782E-2</c:v>
                </c:pt>
                <c:pt idx="30">
                  <c:v>3.7141930311918259E-2</c:v>
                </c:pt>
                <c:pt idx="31">
                  <c:v>3.0003000050783157E-2</c:v>
                </c:pt>
                <c:pt idx="32">
                  <c:v>1.927153579890728E-2</c:v>
                </c:pt>
                <c:pt idx="33">
                  <c:v>4.1470833122730255E-2</c:v>
                </c:pt>
                <c:pt idx="34">
                  <c:v>9.2637740075588226E-2</c:v>
                </c:pt>
                <c:pt idx="35">
                  <c:v>5.5817730724811554E-2</c:v>
                </c:pt>
                <c:pt idx="36">
                  <c:v>6.5091125667095184E-2</c:v>
                </c:pt>
                <c:pt idx="37">
                  <c:v>5.7252902537584305E-2</c:v>
                </c:pt>
                <c:pt idx="38">
                  <c:v>0.10460250824689865</c:v>
                </c:pt>
                <c:pt idx="39">
                  <c:v>8.4771417081356049E-2</c:v>
                </c:pt>
                <c:pt idx="40">
                  <c:v>3.90625E-2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1-40A1-8593-E6AD29174AD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0.22971402055917359</c:v>
                </c:pt>
                <c:pt idx="1">
                  <c:v>0.67990509548417299</c:v>
                </c:pt>
                <c:pt idx="2">
                  <c:v>0.42572914682090679</c:v>
                </c:pt>
                <c:pt idx="3">
                  <c:v>0.22791748223553321</c:v>
                </c:pt>
                <c:pt idx="4">
                  <c:v>0.67685468189851983</c:v>
                </c:pt>
                <c:pt idx="5">
                  <c:v>0.85108225594014653</c:v>
                </c:pt>
                <c:pt idx="6">
                  <c:v>0.69495619307192336</c:v>
                </c:pt>
                <c:pt idx="7">
                  <c:v>0.83688752353611895</c:v>
                </c:pt>
                <c:pt idx="8">
                  <c:v>-1.7188792620806119</c:v>
                </c:pt>
                <c:pt idx="9">
                  <c:v>0.64339552033387526</c:v>
                </c:pt>
                <c:pt idx="10">
                  <c:v>0.7509511161377429</c:v>
                </c:pt>
                <c:pt idx="11">
                  <c:v>0.87308703289207501</c:v>
                </c:pt>
                <c:pt idx="12">
                  <c:v>0.77446460361387437</c:v>
                </c:pt>
                <c:pt idx="13">
                  <c:v>6.797491157789215E-2</c:v>
                </c:pt>
                <c:pt idx="14">
                  <c:v>-1.8040476829103489</c:v>
                </c:pt>
                <c:pt idx="15">
                  <c:v>-1.4799274100289672</c:v>
                </c:pt>
                <c:pt idx="16">
                  <c:v>-0.58938704611843185</c:v>
                </c:pt>
                <c:pt idx="17">
                  <c:v>-2.1305414620225083</c:v>
                </c:pt>
                <c:pt idx="18">
                  <c:v>-1.9474210145015687</c:v>
                </c:pt>
                <c:pt idx="19">
                  <c:v>-0.50381094610487298</c:v>
                </c:pt>
                <c:pt idx="20">
                  <c:v>0.25597242229459599</c:v>
                </c:pt>
                <c:pt idx="21">
                  <c:v>1.0093827779367681</c:v>
                </c:pt>
                <c:pt idx="22">
                  <c:v>0.70176928048508935</c:v>
                </c:pt>
                <c:pt idx="23">
                  <c:v>5.3877949710720102E-2</c:v>
                </c:pt>
                <c:pt idx="24">
                  <c:v>-0.54328502699434755</c:v>
                </c:pt>
                <c:pt idx="25">
                  <c:v>-0.66162398651346843</c:v>
                </c:pt>
                <c:pt idx="26">
                  <c:v>5.1163739706462319E-2</c:v>
                </c:pt>
                <c:pt idx="27">
                  <c:v>0.27079507849522055</c:v>
                </c:pt>
                <c:pt idx="28">
                  <c:v>0.56592770040193963</c:v>
                </c:pt>
                <c:pt idx="29">
                  <c:v>0.34838731806234902</c:v>
                </c:pt>
                <c:pt idx="30">
                  <c:v>-2.6424542716315607</c:v>
                </c:pt>
                <c:pt idx="31">
                  <c:v>0.81276349430077899</c:v>
                </c:pt>
                <c:pt idx="32">
                  <c:v>0.55759798154174545</c:v>
                </c:pt>
                <c:pt idx="33">
                  <c:v>0.8769216167651287</c:v>
                </c:pt>
                <c:pt idx="34">
                  <c:v>-1.6226724873993106</c:v>
                </c:pt>
                <c:pt idx="35">
                  <c:v>-0.84700397855629039</c:v>
                </c:pt>
                <c:pt idx="36">
                  <c:v>0.5469921475794981</c:v>
                </c:pt>
                <c:pt idx="37">
                  <c:v>0.70569763128391072</c:v>
                </c:pt>
                <c:pt idx="38">
                  <c:v>0.65492878058744641</c:v>
                </c:pt>
                <c:pt idx="39">
                  <c:v>0.37848496027944162</c:v>
                </c:pt>
                <c:pt idx="40">
                  <c:v>0.96747211132923938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A1-40A1-8593-E6AD2917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90912"/>
        <c:axId val="2099002688"/>
      </c:lineChart>
      <c:dateAx>
        <c:axId val="97090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002688"/>
        <c:crosses val="autoZero"/>
        <c:auto val="1"/>
        <c:lblOffset val="100"/>
        <c:baseTimeUnit val="months"/>
      </c:dateAx>
      <c:valAx>
        <c:axId val="209900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           CORR=0.1015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0.22971402055917359</c:v>
                </c:pt>
                <c:pt idx="1">
                  <c:v>0.67990509548417299</c:v>
                </c:pt>
                <c:pt idx="2">
                  <c:v>0.42572914682090679</c:v>
                </c:pt>
                <c:pt idx="3">
                  <c:v>0.22791748223553321</c:v>
                </c:pt>
                <c:pt idx="4">
                  <c:v>0.67685468189851983</c:v>
                </c:pt>
                <c:pt idx="5">
                  <c:v>0.85108225594014653</c:v>
                </c:pt>
                <c:pt idx="6">
                  <c:v>0.69495619307192336</c:v>
                </c:pt>
                <c:pt idx="7">
                  <c:v>0.83688752353611895</c:v>
                </c:pt>
                <c:pt idx="8">
                  <c:v>-1.7188792620806119</c:v>
                </c:pt>
                <c:pt idx="9">
                  <c:v>0.64339552033387526</c:v>
                </c:pt>
                <c:pt idx="10">
                  <c:v>0.7509511161377429</c:v>
                </c:pt>
                <c:pt idx="11">
                  <c:v>0.87308703289207501</c:v>
                </c:pt>
                <c:pt idx="12">
                  <c:v>0.77446460361387437</c:v>
                </c:pt>
                <c:pt idx="13">
                  <c:v>6.797491157789215E-2</c:v>
                </c:pt>
                <c:pt idx="14">
                  <c:v>-1.8040476829103489</c:v>
                </c:pt>
                <c:pt idx="15">
                  <c:v>-1.4799274100289672</c:v>
                </c:pt>
                <c:pt idx="16">
                  <c:v>-0.58938704611843185</c:v>
                </c:pt>
                <c:pt idx="17">
                  <c:v>-2.1305414620225083</c:v>
                </c:pt>
                <c:pt idx="18">
                  <c:v>-1.9474210145015687</c:v>
                </c:pt>
                <c:pt idx="19">
                  <c:v>-0.50381094610487298</c:v>
                </c:pt>
                <c:pt idx="20">
                  <c:v>0.25597242229459599</c:v>
                </c:pt>
                <c:pt idx="21">
                  <c:v>1.0093827779367681</c:v>
                </c:pt>
                <c:pt idx="22">
                  <c:v>0.70176928048508935</c:v>
                </c:pt>
                <c:pt idx="23">
                  <c:v>5.3877949710720102E-2</c:v>
                </c:pt>
                <c:pt idx="24">
                  <c:v>-0.54328502699434755</c:v>
                </c:pt>
                <c:pt idx="25">
                  <c:v>-0.66162398651346843</c:v>
                </c:pt>
                <c:pt idx="26">
                  <c:v>5.1163739706462319E-2</c:v>
                </c:pt>
                <c:pt idx="27">
                  <c:v>0.27079507849522055</c:v>
                </c:pt>
                <c:pt idx="28">
                  <c:v>0.56592770040193963</c:v>
                </c:pt>
                <c:pt idx="29">
                  <c:v>0.34838731806234902</c:v>
                </c:pt>
                <c:pt idx="30">
                  <c:v>-2.6424542716315607</c:v>
                </c:pt>
                <c:pt idx="31">
                  <c:v>0.81276349430077899</c:v>
                </c:pt>
                <c:pt idx="32">
                  <c:v>0.55759798154174545</c:v>
                </c:pt>
                <c:pt idx="33">
                  <c:v>0.8769216167651287</c:v>
                </c:pt>
                <c:pt idx="34">
                  <c:v>-1.6226724873993106</c:v>
                </c:pt>
                <c:pt idx="35">
                  <c:v>-0.84700397855629039</c:v>
                </c:pt>
                <c:pt idx="36">
                  <c:v>0.5469921475794981</c:v>
                </c:pt>
                <c:pt idx="37">
                  <c:v>0.70569763128391072</c:v>
                </c:pt>
                <c:pt idx="38">
                  <c:v>0.65492878058744641</c:v>
                </c:pt>
                <c:pt idx="39">
                  <c:v>0.37848496027944162</c:v>
                </c:pt>
                <c:pt idx="40">
                  <c:v>0.96747211132923938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F-4D98-A28D-0100361B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379280"/>
        <c:axId val="1145580944"/>
      </c:lineChart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 -GPRC_ZAF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Sheet1!$E$2:$E$42</c:f>
              <c:numCache>
                <c:formatCode>#,##0.00</c:formatCode>
                <c:ptCount val="41"/>
                <c:pt idx="0">
                  <c:v>-4.2498938739299802E-2</c:v>
                </c:pt>
                <c:pt idx="1">
                  <c:v>-1.4162968844175339E-2</c:v>
                </c:pt>
                <c:pt idx="2">
                  <c:v>-2.0855927839875221E-2</c:v>
                </c:pt>
                <c:pt idx="3">
                  <c:v>-3.1336735934019089E-2</c:v>
                </c:pt>
                <c:pt idx="4">
                  <c:v>-2.1490586921572685E-2</c:v>
                </c:pt>
                <c:pt idx="5">
                  <c:v>-5.1773231476545334E-2</c:v>
                </c:pt>
                <c:pt idx="6">
                  <c:v>-2.6546323671936989E-2</c:v>
                </c:pt>
                <c:pt idx="7">
                  <c:v>-4.4243872165679932E-2</c:v>
                </c:pt>
                <c:pt idx="8">
                  <c:v>-2.6573365554213524E-2</c:v>
                </c:pt>
                <c:pt idx="9">
                  <c:v>-2.9429076239466667E-2</c:v>
                </c:pt>
                <c:pt idx="10">
                  <c:v>-2.6408450677990913E-2</c:v>
                </c:pt>
                <c:pt idx="11">
                  <c:v>-1.456169318407774E-2</c:v>
                </c:pt>
                <c:pt idx="12">
                  <c:v>-1.3236267492175102E-2</c:v>
                </c:pt>
                <c:pt idx="13">
                  <c:v>-4.9041461199522018E-2</c:v>
                </c:pt>
                <c:pt idx="14">
                  <c:v>-3.4205574542284012E-2</c:v>
                </c:pt>
                <c:pt idx="15">
                  <c:v>-3.7138480693101883E-2</c:v>
                </c:pt>
                <c:pt idx="16">
                  <c:v>-1.3518384657800198E-2</c:v>
                </c:pt>
                <c:pt idx="17">
                  <c:v>-8.3056479692459106E-2</c:v>
                </c:pt>
                <c:pt idx="18">
                  <c:v>-1.800261065363884E-2</c:v>
                </c:pt>
                <c:pt idx="19">
                  <c:v>-2.6715347543358803E-2</c:v>
                </c:pt>
                <c:pt idx="20">
                  <c:v>-3.1367629766464233E-2</c:v>
                </c:pt>
                <c:pt idx="21">
                  <c:v>-4.2181634344160557E-3</c:v>
                </c:pt>
                <c:pt idx="22">
                  <c:v>-7.8006699681282043E-2</c:v>
                </c:pt>
                <c:pt idx="23">
                  <c:v>-4.249291867017746E-2</c:v>
                </c:pt>
                <c:pt idx="24">
                  <c:v>-5.0242073833942413E-2</c:v>
                </c:pt>
                <c:pt idx="25">
                  <c:v>-3.0021015554666519E-2</c:v>
                </c:pt>
                <c:pt idx="26">
                  <c:v>-9.95655357837677E-2</c:v>
                </c:pt>
                <c:pt idx="27">
                  <c:v>-7.7134452760219574E-2</c:v>
                </c:pt>
                <c:pt idx="28">
                  <c:v>-4.2275354266166687E-2</c:v>
                </c:pt>
                <c:pt idx="29">
                  <c:v>-4.8190448433160782E-2</c:v>
                </c:pt>
                <c:pt idx="30">
                  <c:v>-3.7141930311918259E-2</c:v>
                </c:pt>
                <c:pt idx="31">
                  <c:v>-3.0003000050783157E-2</c:v>
                </c:pt>
                <c:pt idx="32">
                  <c:v>-1.927153579890728E-2</c:v>
                </c:pt>
                <c:pt idx="33">
                  <c:v>-4.1470833122730255E-2</c:v>
                </c:pt>
                <c:pt idx="34">
                  <c:v>-9.2637740075588226E-2</c:v>
                </c:pt>
                <c:pt idx="35">
                  <c:v>-5.5817730724811554E-2</c:v>
                </c:pt>
                <c:pt idx="36">
                  <c:v>-6.5091125667095184E-2</c:v>
                </c:pt>
                <c:pt idx="37">
                  <c:v>-5.7252902537584305E-2</c:v>
                </c:pt>
                <c:pt idx="38">
                  <c:v>-0.10460250824689865</c:v>
                </c:pt>
                <c:pt idx="39">
                  <c:v>-8.4771417081356049E-2</c:v>
                </c:pt>
                <c:pt idx="40">
                  <c:v>-3.90625E-2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F-4D98-A28D-0100361B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392080"/>
        <c:axId val="1145582608"/>
      </c:lineChart>
      <c:dateAx>
        <c:axId val="114537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80944"/>
        <c:auto val="1"/>
        <c:lblOffset val="100"/>
        <c:baseTimeUnit val="months"/>
      </c:dateAx>
      <c:valAx>
        <c:axId val="11455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79280"/>
        <c:crossBetween val="between"/>
      </c:valAx>
      <c:valAx>
        <c:axId val="1145582608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92080"/>
        <c:crosses val="max"/>
        <c:crossBetween val="between"/>
      </c:valAx>
      <c:dateAx>
        <c:axId val="11453920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45582608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6</xdr:row>
      <xdr:rowOff>164306</xdr:rowOff>
    </xdr:from>
    <xdr:to>
      <xdr:col>13</xdr:col>
      <xdr:colOff>159543</xdr:colOff>
      <xdr:row>22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1CCAFF-7A3E-401E-835D-6CC7E8D7A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121443</xdr:colOff>
      <xdr:row>21</xdr:row>
      <xdr:rowOff>164306</xdr:rowOff>
    </xdr:from>
    <xdr:to>
      <xdr:col>14</xdr:col>
      <xdr:colOff>561975</xdr:colOff>
      <xdr:row>39</xdr:row>
      <xdr:rowOff>52388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6FAFDA-2624-400F-B1F4-A748D5115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121443</xdr:colOff>
      <xdr:row>6</xdr:row>
      <xdr:rowOff>164306</xdr:rowOff>
    </xdr:from>
    <xdr:to>
      <xdr:col>13</xdr:col>
      <xdr:colOff>159543</xdr:colOff>
      <xdr:row>22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331C3-3D79-4C98-A41A-1CC13B28B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N11" sqref="N11"/>
    </sheetView>
  </sheetViews>
  <sheetFormatPr defaultRowHeight="14.25" x14ac:dyDescent="0.45"/>
  <sheetData>
    <row r="1" spans="1:7" x14ac:dyDescent="0.45">
      <c r="A1" t="s">
        <v>1</v>
      </c>
      <c r="B1" t="s">
        <v>2</v>
      </c>
      <c r="C1" s="1" t="s">
        <v>0</v>
      </c>
      <c r="D1" t="s">
        <v>8</v>
      </c>
      <c r="E1" t="s">
        <v>9</v>
      </c>
    </row>
    <row r="2" spans="1:7" x14ac:dyDescent="0.45">
      <c r="A2" s="2">
        <v>43466</v>
      </c>
      <c r="B2" s="3">
        <v>4.2498938739299802E-2</v>
      </c>
      <c r="C2">
        <v>-135.14075281064549</v>
      </c>
      <c r="D2">
        <f>STANDARDIZE(C2,$G$2,$G$3)</f>
        <v>0.22971402055917359</v>
      </c>
      <c r="E2" s="3">
        <f>-B2</f>
        <v>-4.2498938739299802E-2</v>
      </c>
      <c r="F2" t="s">
        <v>3</v>
      </c>
      <c r="G2">
        <f>AVERAGE(C2:C42)</f>
        <v>-156.87192472792239</v>
      </c>
    </row>
    <row r="3" spans="1:7" x14ac:dyDescent="0.45">
      <c r="A3" s="2">
        <v>43497</v>
      </c>
      <c r="B3" s="3">
        <v>1.4162968844175339E-2</v>
      </c>
      <c r="C3">
        <v>-92.552235048410211</v>
      </c>
      <c r="D3">
        <f t="shared" ref="D3:D42" si="0">STANDARDIZE(C3,$G$2,$G$3)</f>
        <v>0.67990509548417299</v>
      </c>
      <c r="E3" s="3">
        <f t="shared" ref="E3:E42" si="1">-B3</f>
        <v>-1.4162968844175339E-2</v>
      </c>
      <c r="F3" t="s">
        <v>4</v>
      </c>
      <c r="G3">
        <f>STDEV(C2:C42)</f>
        <v>94.600981970445361</v>
      </c>
    </row>
    <row r="4" spans="1:7" x14ac:dyDescent="0.45">
      <c r="A4" s="2">
        <v>43525</v>
      </c>
      <c r="B4" s="3">
        <v>2.0855927839875221E-2</v>
      </c>
      <c r="C4">
        <v>-116.5975293852247</v>
      </c>
      <c r="D4">
        <f t="shared" si="0"/>
        <v>0.42572914682090679</v>
      </c>
      <c r="E4" s="3">
        <f t="shared" si="1"/>
        <v>-2.0855927839875221E-2</v>
      </c>
      <c r="F4" t="s">
        <v>5</v>
      </c>
      <c r="G4">
        <f>CORREL(B2:B42,C2:C42)</f>
        <v>-0.10156462285707242</v>
      </c>
    </row>
    <row r="5" spans="1:7" x14ac:dyDescent="0.45">
      <c r="A5" s="2">
        <v>43556</v>
      </c>
      <c r="B5" s="3">
        <v>3.1336735934019089E-2</v>
      </c>
      <c r="C5">
        <v>-135.31070710020941</v>
      </c>
      <c r="D5">
        <f t="shared" si="0"/>
        <v>0.22791748223553321</v>
      </c>
      <c r="E5" s="3">
        <f t="shared" si="1"/>
        <v>-3.1336735934019089E-2</v>
      </c>
    </row>
    <row r="6" spans="1:7" x14ac:dyDescent="0.45">
      <c r="A6" s="2">
        <v>43586</v>
      </c>
      <c r="B6" s="3">
        <v>2.1490586921572685E-2</v>
      </c>
      <c r="C6">
        <v>-92.840807169028992</v>
      </c>
      <c r="D6">
        <f t="shared" si="0"/>
        <v>0.67685468189851983</v>
      </c>
      <c r="E6" s="3">
        <f t="shared" si="1"/>
        <v>-2.1490586921572685E-2</v>
      </c>
    </row>
    <row r="7" spans="1:7" x14ac:dyDescent="0.45">
      <c r="A7" s="2">
        <v>43617</v>
      </c>
      <c r="B7" s="3">
        <v>5.1773231476545334E-2</v>
      </c>
      <c r="C7">
        <v>-76.358707578362626</v>
      </c>
      <c r="D7">
        <f t="shared" si="0"/>
        <v>0.85108225594014653</v>
      </c>
      <c r="E7" s="3">
        <f t="shared" si="1"/>
        <v>-5.1773231476545334E-2</v>
      </c>
    </row>
    <row r="8" spans="1:7" x14ac:dyDescent="0.45">
      <c r="A8" s="2">
        <v>43647</v>
      </c>
      <c r="B8" s="3">
        <v>2.6546323671936989E-2</v>
      </c>
      <c r="C8">
        <v>-91.128386436876028</v>
      </c>
      <c r="D8">
        <f t="shared" si="0"/>
        <v>0.69495619307192336</v>
      </c>
      <c r="E8" s="3">
        <f t="shared" si="1"/>
        <v>-2.6546323671936989E-2</v>
      </c>
    </row>
    <row r="9" spans="1:7" x14ac:dyDescent="0.45">
      <c r="A9" s="2">
        <v>43678</v>
      </c>
      <c r="B9" s="3">
        <v>4.4243872165679932E-2</v>
      </c>
      <c r="C9">
        <v>-77.701543202591338</v>
      </c>
      <c r="D9">
        <f t="shared" si="0"/>
        <v>0.83688752353611895</v>
      </c>
      <c r="E9" s="3">
        <f t="shared" si="1"/>
        <v>-4.4243872165679932E-2</v>
      </c>
    </row>
    <row r="10" spans="1:7" x14ac:dyDescent="0.45">
      <c r="A10" s="2">
        <v>43709</v>
      </c>
      <c r="B10" s="3">
        <v>2.6573365554213524E-2</v>
      </c>
      <c r="C10">
        <v>-319.47959080938278</v>
      </c>
      <c r="D10">
        <f t="shared" si="0"/>
        <v>-1.7188792620806119</v>
      </c>
      <c r="E10" s="3">
        <f t="shared" si="1"/>
        <v>-2.6573365554213524E-2</v>
      </c>
    </row>
    <row r="11" spans="1:7" x14ac:dyDescent="0.45">
      <c r="A11" s="2">
        <v>43739</v>
      </c>
      <c r="B11" s="3">
        <v>2.9429076239466667E-2</v>
      </c>
      <c r="C11">
        <v>-96.006076708952151</v>
      </c>
      <c r="D11">
        <f t="shared" si="0"/>
        <v>0.64339552033387526</v>
      </c>
      <c r="E11" s="3">
        <f t="shared" si="1"/>
        <v>-2.9429076239466667E-2</v>
      </c>
    </row>
    <row r="12" spans="1:7" x14ac:dyDescent="0.45">
      <c r="A12" s="2">
        <v>43770</v>
      </c>
      <c r="B12" s="3">
        <v>2.6408450677990913E-2</v>
      </c>
      <c r="C12">
        <v>-85.831211729489951</v>
      </c>
      <c r="D12">
        <f t="shared" si="0"/>
        <v>0.7509511161377429</v>
      </c>
      <c r="E12" s="3">
        <f t="shared" si="1"/>
        <v>-2.6408450677990913E-2</v>
      </c>
    </row>
    <row r="13" spans="1:7" x14ac:dyDescent="0.45">
      <c r="A13" s="2">
        <v>43800</v>
      </c>
      <c r="B13" s="3">
        <v>1.456169318407774E-2</v>
      </c>
      <c r="C13">
        <v>-74.277034070669572</v>
      </c>
      <c r="D13">
        <f t="shared" si="0"/>
        <v>0.87308703289207501</v>
      </c>
      <c r="E13" s="3">
        <f t="shared" si="1"/>
        <v>-1.456169318407774E-2</v>
      </c>
    </row>
    <row r="14" spans="1:7" x14ac:dyDescent="0.45">
      <c r="A14" s="2">
        <v>43831</v>
      </c>
      <c r="B14" s="3">
        <v>1.3236267492175102E-2</v>
      </c>
      <c r="C14">
        <v>-83.606812724698145</v>
      </c>
      <c r="D14">
        <f t="shared" si="0"/>
        <v>0.77446460361387437</v>
      </c>
      <c r="E14" s="3">
        <f t="shared" si="1"/>
        <v>-1.3236267492175102E-2</v>
      </c>
    </row>
    <row r="15" spans="1:7" x14ac:dyDescent="0.45">
      <c r="A15" s="2">
        <v>43862</v>
      </c>
      <c r="B15" s="3">
        <v>4.9041461199522018E-2</v>
      </c>
      <c r="C15">
        <v>-150.4414313432996</v>
      </c>
      <c r="D15">
        <f t="shared" si="0"/>
        <v>6.797491157789215E-2</v>
      </c>
      <c r="E15" s="3">
        <f t="shared" si="1"/>
        <v>-4.9041461199522018E-2</v>
      </c>
    </row>
    <row r="16" spans="1:7" x14ac:dyDescent="0.45">
      <c r="A16" s="2">
        <v>43891</v>
      </c>
      <c r="B16" s="3">
        <v>3.4205574542284012E-2</v>
      </c>
      <c r="C16">
        <v>-327.53660705274802</v>
      </c>
      <c r="D16">
        <f t="shared" si="0"/>
        <v>-1.8040476829103489</v>
      </c>
      <c r="E16" s="3">
        <f t="shared" si="1"/>
        <v>-3.4205574542284012E-2</v>
      </c>
    </row>
    <row r="17" spans="1:5" x14ac:dyDescent="0.45">
      <c r="A17" s="2">
        <v>43922</v>
      </c>
      <c r="B17" s="3">
        <v>3.7138480693101883E-2</v>
      </c>
      <c r="C17">
        <v>-296.87451096164062</v>
      </c>
      <c r="D17">
        <f t="shared" si="0"/>
        <v>-1.4799274100289672</v>
      </c>
      <c r="E17" s="3">
        <f t="shared" si="1"/>
        <v>-3.7138480693101883E-2</v>
      </c>
    </row>
    <row r="18" spans="1:5" x14ac:dyDescent="0.45">
      <c r="A18" s="2">
        <v>43952</v>
      </c>
      <c r="B18" s="3">
        <v>1.3518384657800198E-2</v>
      </c>
      <c r="C18">
        <v>-212.62851805138621</v>
      </c>
      <c r="D18">
        <f t="shared" si="0"/>
        <v>-0.58938704611843185</v>
      </c>
      <c r="E18" s="3">
        <f t="shared" si="1"/>
        <v>-1.3518384657800198E-2</v>
      </c>
    </row>
    <row r="19" spans="1:5" x14ac:dyDescent="0.45">
      <c r="A19" s="2">
        <v>43983</v>
      </c>
      <c r="B19" s="3">
        <v>8.3056479692459106E-2</v>
      </c>
      <c r="C19">
        <v>-358.42323916399999</v>
      </c>
      <c r="D19">
        <f t="shared" si="0"/>
        <v>-2.1305414620225083</v>
      </c>
      <c r="E19" s="3">
        <f t="shared" si="1"/>
        <v>-8.3056479692459106E-2</v>
      </c>
    </row>
    <row r="20" spans="1:5" x14ac:dyDescent="0.45">
      <c r="A20" s="2">
        <v>44013</v>
      </c>
      <c r="B20" s="3">
        <v>1.800261065363884E-2</v>
      </c>
      <c r="C20">
        <v>-341.09986500965169</v>
      </c>
      <c r="D20">
        <f t="shared" si="0"/>
        <v>-1.9474210145015687</v>
      </c>
      <c r="E20" s="3">
        <f t="shared" si="1"/>
        <v>-1.800261065363884E-2</v>
      </c>
    </row>
    <row r="21" spans="1:5" x14ac:dyDescent="0.45">
      <c r="A21" s="2">
        <v>44044</v>
      </c>
      <c r="B21" s="3">
        <v>2.6715347543358803E-2</v>
      </c>
      <c r="C21">
        <v>-204.53293495690249</v>
      </c>
      <c r="D21">
        <f t="shared" si="0"/>
        <v>-0.50381094610487298</v>
      </c>
      <c r="E21" s="3">
        <f t="shared" si="1"/>
        <v>-2.6715347543358803E-2</v>
      </c>
    </row>
    <row r="22" spans="1:5" x14ac:dyDescent="0.45">
      <c r="A22" s="2">
        <v>44075</v>
      </c>
      <c r="B22" s="3">
        <v>3.1367629766464233E-2</v>
      </c>
      <c r="C22">
        <v>-132.65668222150009</v>
      </c>
      <c r="D22">
        <f t="shared" si="0"/>
        <v>0.25597242229459599</v>
      </c>
      <c r="E22" s="3">
        <f t="shared" si="1"/>
        <v>-3.1367629766464233E-2</v>
      </c>
    </row>
    <row r="23" spans="1:5" x14ac:dyDescent="0.45">
      <c r="A23" s="2">
        <v>44105</v>
      </c>
      <c r="B23" s="3">
        <v>4.2181634344160557E-3</v>
      </c>
      <c r="C23">
        <v>-61.383322751048141</v>
      </c>
      <c r="D23">
        <f t="shared" si="0"/>
        <v>1.0093827779367681</v>
      </c>
      <c r="E23" s="3">
        <f t="shared" si="1"/>
        <v>-4.2181634344160557E-3</v>
      </c>
    </row>
    <row r="24" spans="1:5" x14ac:dyDescent="0.45">
      <c r="A24" s="2">
        <v>44136</v>
      </c>
      <c r="B24" s="3">
        <v>7.8006699681282043E-2</v>
      </c>
      <c r="C24">
        <v>-90.483861677340045</v>
      </c>
      <c r="D24">
        <f t="shared" si="0"/>
        <v>0.70176928048508935</v>
      </c>
      <c r="E24" s="3">
        <f t="shared" si="1"/>
        <v>-7.8006699681282043E-2</v>
      </c>
    </row>
    <row r="25" spans="1:5" x14ac:dyDescent="0.45">
      <c r="A25" s="2">
        <v>44166</v>
      </c>
      <c r="B25" s="3">
        <v>4.249291867017746E-2</v>
      </c>
      <c r="C25">
        <v>-151.775017778734</v>
      </c>
      <c r="D25">
        <f t="shared" si="0"/>
        <v>5.3877949710720102E-2</v>
      </c>
      <c r="E25" s="3">
        <f t="shared" si="1"/>
        <v>-4.249291867017746E-2</v>
      </c>
    </row>
    <row r="26" spans="1:5" x14ac:dyDescent="0.45">
      <c r="A26" s="2">
        <v>44197</v>
      </c>
      <c r="B26" s="3">
        <v>5.0242073833942413E-2</v>
      </c>
      <c r="C26">
        <v>-208.26722177142759</v>
      </c>
      <c r="D26">
        <f t="shared" si="0"/>
        <v>-0.54328502699434755</v>
      </c>
      <c r="E26" s="3">
        <f t="shared" si="1"/>
        <v>-5.0242073833942413E-2</v>
      </c>
    </row>
    <row r="27" spans="1:5" x14ac:dyDescent="0.45">
      <c r="A27" s="2">
        <v>44228</v>
      </c>
      <c r="B27" s="3">
        <v>3.0021015554666519E-2</v>
      </c>
      <c r="C27">
        <v>-219.46220354729721</v>
      </c>
      <c r="D27">
        <f t="shared" si="0"/>
        <v>-0.66162398651346843</v>
      </c>
      <c r="E27" s="3">
        <f t="shared" si="1"/>
        <v>-3.0021015554666519E-2</v>
      </c>
    </row>
    <row r="28" spans="1:5" x14ac:dyDescent="0.45">
      <c r="A28" s="2">
        <v>44256</v>
      </c>
      <c r="B28" s="3">
        <v>9.95655357837677E-2</v>
      </c>
      <c r="C28">
        <v>-152.03178471041079</v>
      </c>
      <c r="D28">
        <f t="shared" si="0"/>
        <v>5.1163739706462319E-2</v>
      </c>
      <c r="E28" s="3">
        <f t="shared" si="1"/>
        <v>-9.95655357837677E-2</v>
      </c>
    </row>
    <row r="29" spans="1:5" x14ac:dyDescent="0.45">
      <c r="A29" s="2">
        <v>44287</v>
      </c>
      <c r="B29" s="3">
        <v>7.7134452760219574E-2</v>
      </c>
      <c r="C29">
        <v>-131.2544443895107</v>
      </c>
      <c r="D29">
        <f t="shared" si="0"/>
        <v>0.27079507849522055</v>
      </c>
      <c r="E29" s="3">
        <f t="shared" si="1"/>
        <v>-7.7134452760219574E-2</v>
      </c>
    </row>
    <row r="30" spans="1:5" x14ac:dyDescent="0.45">
      <c r="A30" s="2">
        <v>44317</v>
      </c>
      <c r="B30" s="3">
        <v>4.2275354266166687E-2</v>
      </c>
      <c r="C30">
        <v>-103.3346085456229</v>
      </c>
      <c r="D30">
        <f t="shared" si="0"/>
        <v>0.56592770040193963</v>
      </c>
      <c r="E30" s="3">
        <f t="shared" si="1"/>
        <v>-4.2275354266166687E-2</v>
      </c>
    </row>
    <row r="31" spans="1:5" x14ac:dyDescent="0.45">
      <c r="A31" s="2">
        <v>44348</v>
      </c>
      <c r="B31" s="3">
        <v>4.8190448433160782E-2</v>
      </c>
      <c r="C31">
        <v>-123.9141423331743</v>
      </c>
      <c r="D31">
        <f t="shared" si="0"/>
        <v>0.34838731806234902</v>
      </c>
      <c r="E31" s="3">
        <f t="shared" si="1"/>
        <v>-4.8190448433160782E-2</v>
      </c>
    </row>
    <row r="32" spans="1:5" x14ac:dyDescent="0.45">
      <c r="A32" s="2">
        <v>44378</v>
      </c>
      <c r="B32" s="3">
        <v>3.7141930311918259E-2</v>
      </c>
      <c r="C32">
        <v>-406.85069363626599</v>
      </c>
      <c r="D32">
        <f t="shared" si="0"/>
        <v>-2.6424542716315607</v>
      </c>
      <c r="E32" s="3">
        <f t="shared" si="1"/>
        <v>-3.7141930311918259E-2</v>
      </c>
    </row>
    <row r="33" spans="1:5" x14ac:dyDescent="0.45">
      <c r="A33" s="2">
        <v>44409</v>
      </c>
      <c r="B33" s="3">
        <v>3.0003000050783157E-2</v>
      </c>
      <c r="C33">
        <v>-79.983700057338226</v>
      </c>
      <c r="D33">
        <f t="shared" si="0"/>
        <v>0.81276349430077899</v>
      </c>
      <c r="E33" s="3">
        <f t="shared" si="1"/>
        <v>-3.0003000050783157E-2</v>
      </c>
    </row>
    <row r="34" spans="1:5" x14ac:dyDescent="0.45">
      <c r="A34" s="2">
        <v>44440</v>
      </c>
      <c r="B34" s="3">
        <v>1.927153579890728E-2</v>
      </c>
      <c r="C34">
        <v>-104.12260812933501</v>
      </c>
      <c r="D34">
        <f t="shared" si="0"/>
        <v>0.55759798154174545</v>
      </c>
      <c r="E34" s="3">
        <f t="shared" si="1"/>
        <v>-1.927153579890728E-2</v>
      </c>
    </row>
    <row r="35" spans="1:5" x14ac:dyDescent="0.45">
      <c r="A35" s="2">
        <v>44470</v>
      </c>
      <c r="B35" s="3">
        <v>4.1470833122730255E-2</v>
      </c>
      <c r="C35">
        <v>-73.914278670830655</v>
      </c>
      <c r="D35">
        <f t="shared" si="0"/>
        <v>0.8769216167651287</v>
      </c>
      <c r="E35" s="3">
        <f t="shared" si="1"/>
        <v>-4.1470833122730255E-2</v>
      </c>
    </row>
    <row r="36" spans="1:5" x14ac:dyDescent="0.45">
      <c r="A36" s="2">
        <v>44501</v>
      </c>
      <c r="B36" s="3">
        <v>9.2637740075588226E-2</v>
      </c>
      <c r="C36">
        <v>-310.37833545232229</v>
      </c>
      <c r="D36">
        <f t="shared" si="0"/>
        <v>-1.6226724873993106</v>
      </c>
      <c r="E36" s="3">
        <f t="shared" si="1"/>
        <v>-9.2637740075588226E-2</v>
      </c>
    </row>
    <row r="37" spans="1:5" x14ac:dyDescent="0.45">
      <c r="A37" s="2">
        <v>44531</v>
      </c>
      <c r="B37" s="3">
        <v>5.5817730724811554E-2</v>
      </c>
      <c r="C37">
        <v>-236.99933283222151</v>
      </c>
      <c r="D37">
        <f t="shared" si="0"/>
        <v>-0.84700397855629039</v>
      </c>
      <c r="E37" s="3">
        <f t="shared" si="1"/>
        <v>-5.5817730724811554E-2</v>
      </c>
    </row>
    <row r="38" spans="1:5" x14ac:dyDescent="0.45">
      <c r="A38" s="2">
        <v>44562</v>
      </c>
      <c r="B38" s="3">
        <v>6.5091125667095184E-2</v>
      </c>
      <c r="C38">
        <v>-105.1259304367791</v>
      </c>
      <c r="D38">
        <f t="shared" si="0"/>
        <v>0.5469921475794981</v>
      </c>
      <c r="E38" s="3">
        <f t="shared" si="1"/>
        <v>-6.5091125667095184E-2</v>
      </c>
    </row>
    <row r="39" spans="1:5" x14ac:dyDescent="0.45">
      <c r="A39" s="2">
        <v>44593</v>
      </c>
      <c r="B39" s="3">
        <v>5.7252902537584305E-2</v>
      </c>
      <c r="C39">
        <v>-90.112235834247159</v>
      </c>
      <c r="D39">
        <f t="shared" si="0"/>
        <v>0.70569763128391072</v>
      </c>
      <c r="E39" s="3">
        <f t="shared" si="1"/>
        <v>-5.7252902537584305E-2</v>
      </c>
    </row>
    <row r="40" spans="1:5" x14ac:dyDescent="0.45">
      <c r="A40" s="2">
        <v>44621</v>
      </c>
      <c r="B40" s="3">
        <v>0.10460250824689865</v>
      </c>
      <c r="C40">
        <v>-94.915018963643604</v>
      </c>
      <c r="D40">
        <f t="shared" si="0"/>
        <v>0.65492878058744641</v>
      </c>
      <c r="E40" s="3">
        <f t="shared" si="1"/>
        <v>-0.10460250824689865</v>
      </c>
    </row>
    <row r="41" spans="1:5" x14ac:dyDescent="0.45">
      <c r="A41" s="2">
        <v>44652</v>
      </c>
      <c r="B41" s="3">
        <v>8.4771417081356049E-2</v>
      </c>
      <c r="C41">
        <v>-121.06687582444221</v>
      </c>
      <c r="D41">
        <f t="shared" si="0"/>
        <v>0.37848496027944162</v>
      </c>
      <c r="E41" s="3">
        <f t="shared" si="1"/>
        <v>-8.4771417081356049E-2</v>
      </c>
    </row>
    <row r="42" spans="1:5" x14ac:dyDescent="0.45">
      <c r="A42" s="2">
        <v>44682</v>
      </c>
      <c r="B42" s="3">
        <v>3.90625E-2</v>
      </c>
      <c r="C42">
        <v>-65.348112967156311</v>
      </c>
      <c r="D42">
        <f t="shared" si="0"/>
        <v>0.96747211132923938</v>
      </c>
      <c r="E42" s="3">
        <f t="shared" si="1"/>
        <v>-3.90625E-2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1EB2-1A9C-4EAE-A162-3D82F85E710C}">
  <dimension ref="A1:B3"/>
  <sheetViews>
    <sheetView workbookViewId="0">
      <selection activeCell="B1" sqref="B1:B3"/>
    </sheetView>
  </sheetViews>
  <sheetFormatPr defaultRowHeight="14.25" x14ac:dyDescent="0.45"/>
  <sheetData>
    <row r="1" spans="1:2" x14ac:dyDescent="0.45">
      <c r="B1" t="s">
        <v>7</v>
      </c>
    </row>
    <row r="2" spans="1:2" x14ac:dyDescent="0.45">
      <c r="A2" t="s">
        <v>5</v>
      </c>
      <c r="B2">
        <v>-0.101564</v>
      </c>
    </row>
    <row r="3" spans="1:2" x14ac:dyDescent="0.45">
      <c r="A3" t="s">
        <v>6</v>
      </c>
      <c r="B3">
        <v>0.52747999999999995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2022-06-26T17:58:45Z</dcterms:created>
  <dcterms:modified xsi:type="dcterms:W3CDTF">2022-06-27T15:28:29Z</dcterms:modified>
</cp:coreProperties>
</file>