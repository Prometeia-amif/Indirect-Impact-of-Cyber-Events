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DBF86694-9985-4B13-9724-13E7D871AF01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F4" i="1"/>
  <c r="F3" i="1"/>
  <c r="F2" i="1"/>
</calcChain>
</file>

<file path=xl/sharedStrings.xml><?xml version="1.0" encoding="utf-8"?>
<sst xmlns="http://schemas.openxmlformats.org/spreadsheetml/2006/main" count="13" uniqueCount="13">
  <si>
    <t>CWT_ID</t>
  </si>
  <si>
    <t>INDIA</t>
  </si>
  <si>
    <t>CORR</t>
  </si>
  <si>
    <t>p-value</t>
  </si>
  <si>
    <t>0,22409</t>
  </si>
  <si>
    <t xml:space="preserve"> -0,19405</t>
  </si>
  <si>
    <t>month</t>
  </si>
  <si>
    <t>GPRC_IND</t>
  </si>
  <si>
    <t>media</t>
  </si>
  <si>
    <t>stdev</t>
  </si>
  <si>
    <t>corr</t>
  </si>
  <si>
    <t>CWT_stand</t>
  </si>
  <si>
    <t xml:space="preserve"> -GPRC_IND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</si>
</sst>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  CORR=-0,19405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8.9247770607471466E-2</c:v>
                </c:pt>
                <c:pt idx="1">
                  <c:v>0.3635161817073822</c:v>
                </c:pt>
                <c:pt idx="2">
                  <c:v>0.30866771936416626</c:v>
                </c:pt>
                <c:pt idx="3">
                  <c:v>0.35365745425224304</c:v>
                </c:pt>
                <c:pt idx="4">
                  <c:v>0.26218515634536743</c:v>
                </c:pt>
                <c:pt idx="5">
                  <c:v>0.20709292590618134</c:v>
                </c:pt>
                <c:pt idx="6">
                  <c:v>0.17255109548568726</c:v>
                </c:pt>
                <c:pt idx="7">
                  <c:v>0.34510219097137451</c:v>
                </c:pt>
                <c:pt idx="8">
                  <c:v>0.15501129627227783</c:v>
                </c:pt>
                <c:pt idx="9">
                  <c:v>0.1681661456823349</c:v>
                </c:pt>
                <c:pt idx="10">
                  <c:v>7.9225353896617889E-2</c:v>
                </c:pt>
                <c:pt idx="11">
                  <c:v>9.2224054038524628E-2</c:v>
                </c:pt>
                <c:pt idx="12">
                  <c:v>0.18089565634727478</c:v>
                </c:pt>
                <c:pt idx="13">
                  <c:v>0.21399910748004913</c:v>
                </c:pt>
                <c:pt idx="14">
                  <c:v>0.11971951276063919</c:v>
                </c:pt>
                <c:pt idx="15">
                  <c:v>0.11605775356292725</c:v>
                </c:pt>
                <c:pt idx="16">
                  <c:v>0.15320836007595062</c:v>
                </c:pt>
                <c:pt idx="17">
                  <c:v>0.32299742102622986</c:v>
                </c:pt>
                <c:pt idx="18">
                  <c:v>0.22953328490257263</c:v>
                </c:pt>
                <c:pt idx="19">
                  <c:v>9.7956277430057526E-2</c:v>
                </c:pt>
                <c:pt idx="20">
                  <c:v>0.21509231626987457</c:v>
                </c:pt>
                <c:pt idx="21">
                  <c:v>0.11810857802629471</c:v>
                </c:pt>
                <c:pt idx="22">
                  <c:v>0.18354517221450806</c:v>
                </c:pt>
                <c:pt idx="23">
                  <c:v>0.11803588271141052</c:v>
                </c:pt>
                <c:pt idx="24">
                  <c:v>0.14159131050109863</c:v>
                </c:pt>
                <c:pt idx="25">
                  <c:v>0.13509456813335419</c:v>
                </c:pt>
                <c:pt idx="26">
                  <c:v>0.32585084438323975</c:v>
                </c:pt>
                <c:pt idx="27">
                  <c:v>0.18319432437419891</c:v>
                </c:pt>
                <c:pt idx="28">
                  <c:v>0.31941378116607666</c:v>
                </c:pt>
                <c:pt idx="29">
                  <c:v>0.1879427433013916</c:v>
                </c:pt>
                <c:pt idx="30">
                  <c:v>0.19035238027572632</c:v>
                </c:pt>
                <c:pt idx="31">
                  <c:v>0.15001499652862549</c:v>
                </c:pt>
                <c:pt idx="32">
                  <c:v>0.44324532151222229</c:v>
                </c:pt>
                <c:pt idx="33">
                  <c:v>0.26264861226081848</c:v>
                </c:pt>
                <c:pt idx="34">
                  <c:v>0.16089712083339691</c:v>
                </c:pt>
                <c:pt idx="35">
                  <c:v>0.15223017334938049</c:v>
                </c:pt>
                <c:pt idx="36">
                  <c:v>0.22030843794345856</c:v>
                </c:pt>
                <c:pt idx="37">
                  <c:v>0.17175871133804321</c:v>
                </c:pt>
                <c:pt idx="38">
                  <c:v>0.47818291187286377</c:v>
                </c:pt>
                <c:pt idx="39">
                  <c:v>0.43596729636192322</c:v>
                </c:pt>
                <c:pt idx="40">
                  <c:v>0.33203125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E-458A-971C-2B975E832288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0.61675514627628703</c:v>
                </c:pt>
                <c:pt idx="1">
                  <c:v>-3.8001474610268202</c:v>
                </c:pt>
                <c:pt idx="2">
                  <c:v>-1.7609018129474281</c:v>
                </c:pt>
                <c:pt idx="3">
                  <c:v>-0.77926545782200929</c:v>
                </c:pt>
                <c:pt idx="4">
                  <c:v>-6.3215124146987836E-2</c:v>
                </c:pt>
                <c:pt idx="5">
                  <c:v>8.8823773708286424E-2</c:v>
                </c:pt>
                <c:pt idx="6">
                  <c:v>-2.7840244531828807E-2</c:v>
                </c:pt>
                <c:pt idx="7">
                  <c:v>-1.4140540926087553</c:v>
                </c:pt>
                <c:pt idx="8">
                  <c:v>-0.16535574379376813</c:v>
                </c:pt>
                <c:pt idx="9">
                  <c:v>0.42213763351695083</c:v>
                </c:pt>
                <c:pt idx="10">
                  <c:v>0.63157429314628621</c:v>
                </c:pt>
                <c:pt idx="11">
                  <c:v>-1.339304287835011</c:v>
                </c:pt>
                <c:pt idx="12">
                  <c:v>9.9785091635126111E-2</c:v>
                </c:pt>
                <c:pt idx="13">
                  <c:v>0.17258291874681872</c:v>
                </c:pt>
                <c:pt idx="14">
                  <c:v>-0.24747576141735889</c:v>
                </c:pt>
                <c:pt idx="15">
                  <c:v>-0.27063795481993924</c:v>
                </c:pt>
                <c:pt idx="16">
                  <c:v>-0.59933957615503497</c:v>
                </c:pt>
                <c:pt idx="17">
                  <c:v>-1.625433008301453</c:v>
                </c:pt>
                <c:pt idx="18">
                  <c:v>-0.58433729375968579</c:v>
                </c:pt>
                <c:pt idx="19">
                  <c:v>-0.41993084877164089</c:v>
                </c:pt>
                <c:pt idx="20">
                  <c:v>-0.46027599112855483</c:v>
                </c:pt>
                <c:pt idx="21">
                  <c:v>0.7422881740079641</c:v>
                </c:pt>
                <c:pt idx="22">
                  <c:v>0.99503153857495352</c:v>
                </c:pt>
                <c:pt idx="23">
                  <c:v>0.70653172083473303</c:v>
                </c:pt>
                <c:pt idx="24">
                  <c:v>0.54100100080358304</c:v>
                </c:pt>
                <c:pt idx="25">
                  <c:v>0.36734584035243939</c:v>
                </c:pt>
                <c:pt idx="26">
                  <c:v>0.7241868024577095</c:v>
                </c:pt>
                <c:pt idx="27">
                  <c:v>-0.61732132449521093</c:v>
                </c:pt>
                <c:pt idx="28">
                  <c:v>-1.2758200380048907</c:v>
                </c:pt>
                <c:pt idx="29">
                  <c:v>0.13727863186372699</c:v>
                </c:pt>
                <c:pt idx="30">
                  <c:v>0.24261917136567795</c:v>
                </c:pt>
                <c:pt idx="31">
                  <c:v>0.88307718060893181</c:v>
                </c:pt>
                <c:pt idx="32">
                  <c:v>0.870367468100676</c:v>
                </c:pt>
                <c:pt idx="33">
                  <c:v>0.82775241099049746</c:v>
                </c:pt>
                <c:pt idx="34">
                  <c:v>0.90656971251542673</c:v>
                </c:pt>
                <c:pt idx="35">
                  <c:v>0.97700120127527001</c:v>
                </c:pt>
                <c:pt idx="36">
                  <c:v>1.0374251194646258</c:v>
                </c:pt>
                <c:pt idx="37">
                  <c:v>0.83076436739931703</c:v>
                </c:pt>
                <c:pt idx="38">
                  <c:v>0.81578705057244905</c:v>
                </c:pt>
                <c:pt idx="39">
                  <c:v>0.90916820791196074</c:v>
                </c:pt>
                <c:pt idx="40">
                  <c:v>0.90480156543666379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E-458A-971C-2B975E83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596703"/>
        <c:axId val="728589727"/>
      </c:lineChart>
      <c:dateAx>
        <c:axId val="3795967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589727"/>
        <c:crosses val="autoZero"/>
        <c:auto val="1"/>
        <c:lblOffset val="100"/>
        <c:baseTimeUnit val="months"/>
      </c:dateAx>
      <c:valAx>
        <c:axId val="72858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9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8.9247770607471466E-2</c:v>
                </c:pt>
                <c:pt idx="1">
                  <c:v>0.3635161817073822</c:v>
                </c:pt>
                <c:pt idx="2">
                  <c:v>0.30866771936416626</c:v>
                </c:pt>
                <c:pt idx="3">
                  <c:v>0.35365745425224304</c:v>
                </c:pt>
                <c:pt idx="4">
                  <c:v>0.26218515634536743</c:v>
                </c:pt>
                <c:pt idx="5">
                  <c:v>0.20709292590618134</c:v>
                </c:pt>
                <c:pt idx="6">
                  <c:v>0.17255109548568726</c:v>
                </c:pt>
                <c:pt idx="7">
                  <c:v>0.34510219097137451</c:v>
                </c:pt>
                <c:pt idx="8">
                  <c:v>0.15501129627227783</c:v>
                </c:pt>
                <c:pt idx="9">
                  <c:v>0.1681661456823349</c:v>
                </c:pt>
                <c:pt idx="10">
                  <c:v>7.9225353896617889E-2</c:v>
                </c:pt>
                <c:pt idx="11">
                  <c:v>9.2224054038524628E-2</c:v>
                </c:pt>
                <c:pt idx="12">
                  <c:v>0.18089565634727478</c:v>
                </c:pt>
                <c:pt idx="13">
                  <c:v>0.21399910748004913</c:v>
                </c:pt>
                <c:pt idx="14">
                  <c:v>0.11971951276063919</c:v>
                </c:pt>
                <c:pt idx="15">
                  <c:v>0.11605775356292725</c:v>
                </c:pt>
                <c:pt idx="16">
                  <c:v>0.15320836007595062</c:v>
                </c:pt>
                <c:pt idx="17">
                  <c:v>0.32299742102622986</c:v>
                </c:pt>
                <c:pt idx="18">
                  <c:v>0.22953328490257263</c:v>
                </c:pt>
                <c:pt idx="19">
                  <c:v>9.7956277430057526E-2</c:v>
                </c:pt>
                <c:pt idx="20">
                  <c:v>0.21509231626987457</c:v>
                </c:pt>
                <c:pt idx="21">
                  <c:v>0.11810857802629471</c:v>
                </c:pt>
                <c:pt idx="22">
                  <c:v>0.18354517221450806</c:v>
                </c:pt>
                <c:pt idx="23">
                  <c:v>0.11803588271141052</c:v>
                </c:pt>
                <c:pt idx="24">
                  <c:v>0.14159131050109863</c:v>
                </c:pt>
                <c:pt idx="25">
                  <c:v>0.13509456813335419</c:v>
                </c:pt>
                <c:pt idx="26">
                  <c:v>0.32585084438323975</c:v>
                </c:pt>
                <c:pt idx="27">
                  <c:v>0.18319432437419891</c:v>
                </c:pt>
                <c:pt idx="28">
                  <c:v>0.31941378116607666</c:v>
                </c:pt>
                <c:pt idx="29">
                  <c:v>0.1879427433013916</c:v>
                </c:pt>
                <c:pt idx="30">
                  <c:v>0.19035238027572632</c:v>
                </c:pt>
                <c:pt idx="31">
                  <c:v>0.15001499652862549</c:v>
                </c:pt>
                <c:pt idx="32">
                  <c:v>0.44324532151222229</c:v>
                </c:pt>
                <c:pt idx="33">
                  <c:v>0.26264861226081848</c:v>
                </c:pt>
                <c:pt idx="34">
                  <c:v>0.16089712083339691</c:v>
                </c:pt>
                <c:pt idx="35">
                  <c:v>0.15223017334938049</c:v>
                </c:pt>
                <c:pt idx="36">
                  <c:v>0.22030843794345856</c:v>
                </c:pt>
                <c:pt idx="37">
                  <c:v>0.17175871133804321</c:v>
                </c:pt>
                <c:pt idx="38">
                  <c:v>0.47818291187286377</c:v>
                </c:pt>
                <c:pt idx="39">
                  <c:v>0.43596729636192322</c:v>
                </c:pt>
                <c:pt idx="40">
                  <c:v>0.33203125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0-4A5C-9F7F-2EFC9556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080047"/>
        <c:axId val="676270047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-421.17601811574769</c:v>
                </c:pt>
                <c:pt idx="1">
                  <c:v>-2034.932806555604</c:v>
                </c:pt>
                <c:pt idx="2">
                  <c:v>-1289.8752853770029</c:v>
                </c:pt>
                <c:pt idx="3">
                  <c:v>-931.22523743532031</c:v>
                </c:pt>
                <c:pt idx="4">
                  <c:v>-669.6095330450803</c:v>
                </c:pt>
                <c:pt idx="5">
                  <c:v>-614.06069592216443</c:v>
                </c:pt>
                <c:pt idx="6">
                  <c:v>-656.68498903887644</c:v>
                </c:pt>
                <c:pt idx="7">
                  <c:v>-1163.1512180801731</c:v>
                </c:pt>
                <c:pt idx="8">
                  <c:v>-706.92756628808354</c:v>
                </c:pt>
                <c:pt idx="9">
                  <c:v>-492.28135148790972</c:v>
                </c:pt>
                <c:pt idx="10">
                  <c:v>-415.76170383568927</c:v>
                </c:pt>
                <c:pt idx="11">
                  <c:v>-1135.8406759168181</c:v>
                </c:pt>
                <c:pt idx="12">
                  <c:v>-610.0558756244659</c:v>
                </c:pt>
                <c:pt idx="13">
                  <c:v>-583.45850680521198</c:v>
                </c:pt>
                <c:pt idx="14">
                  <c:v>-736.93088483256599</c:v>
                </c:pt>
                <c:pt idx="15">
                  <c:v>-745.39340940278589</c:v>
                </c:pt>
                <c:pt idx="16">
                  <c:v>-865.48762925803851</c:v>
                </c:pt>
                <c:pt idx="17">
                  <c:v>-1240.3804871992461</c:v>
                </c:pt>
                <c:pt idx="18">
                  <c:v>-860.00640469638381</c:v>
                </c:pt>
                <c:pt idx="19">
                  <c:v>-799.93896824803596</c:v>
                </c:pt>
                <c:pt idx="20">
                  <c:v>-814.67944435710638</c:v>
                </c:pt>
                <c:pt idx="21">
                  <c:v>-375.31134920943128</c:v>
                </c:pt>
                <c:pt idx="22">
                  <c:v>-282.96919078630373</c:v>
                </c:pt>
                <c:pt idx="23">
                  <c:v>-388.3753046934001</c:v>
                </c:pt>
                <c:pt idx="24">
                  <c:v>-448.85350557198109</c:v>
                </c:pt>
                <c:pt idx="25">
                  <c:v>-512.30004694744378</c:v>
                </c:pt>
                <c:pt idx="26">
                  <c:v>-381.92485505649171</c:v>
                </c:pt>
                <c:pt idx="27">
                  <c:v>-872.05742964349326</c:v>
                </c:pt>
                <c:pt idx="28">
                  <c:v>-1112.64610989832</c:v>
                </c:pt>
                <c:pt idx="29">
                  <c:v>-596.35725909475002</c:v>
                </c:pt>
                <c:pt idx="30">
                  <c:v>-557.87010512442828</c:v>
                </c:pt>
                <c:pt idx="31">
                  <c:v>-323.87276535558902</c:v>
                </c:pt>
                <c:pt idx="32">
                  <c:v>-328.51637800971548</c:v>
                </c:pt>
                <c:pt idx="33">
                  <c:v>-344.08618876071432</c:v>
                </c:pt>
                <c:pt idx="34">
                  <c:v>-315.2895485151131</c:v>
                </c:pt>
                <c:pt idx="35">
                  <c:v>-289.55674360377247</c:v>
                </c:pt>
                <c:pt idx="36">
                  <c:v>-267.48029844942818</c:v>
                </c:pt>
                <c:pt idx="37">
                  <c:v>-342.98574224120517</c:v>
                </c:pt>
                <c:pt idx="38">
                  <c:v>-348.45784539829299</c:v>
                </c:pt>
                <c:pt idx="39">
                  <c:v>-314.34016385380022</c:v>
                </c:pt>
                <c:pt idx="40">
                  <c:v>-315.93555763168177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0-4A5C-9F7F-2EFC9556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548671"/>
        <c:axId val="676269215"/>
      </c:lineChart>
      <c:dateAx>
        <c:axId val="282080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70047"/>
        <c:crosses val="autoZero"/>
        <c:auto val="1"/>
        <c:lblOffset val="100"/>
        <c:baseTimeUnit val="months"/>
        <c:majorUnit val="1"/>
        <c:majorTimeUnit val="months"/>
      </c:dateAx>
      <c:valAx>
        <c:axId val="67627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80047"/>
        <c:crosses val="autoZero"/>
        <c:crossBetween val="between"/>
      </c:valAx>
      <c:valAx>
        <c:axId val="676269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548671"/>
        <c:crosses val="max"/>
        <c:crossBetween val="between"/>
      </c:valAx>
      <c:dateAx>
        <c:axId val="38054867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626921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  CORR= 0.1940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0.61675514627628703</c:v>
                </c:pt>
                <c:pt idx="1">
                  <c:v>-3.8001474610268202</c:v>
                </c:pt>
                <c:pt idx="2">
                  <c:v>-1.7609018129474281</c:v>
                </c:pt>
                <c:pt idx="3">
                  <c:v>-0.77926545782200929</c:v>
                </c:pt>
                <c:pt idx="4">
                  <c:v>-6.3215124146987836E-2</c:v>
                </c:pt>
                <c:pt idx="5">
                  <c:v>8.8823773708286424E-2</c:v>
                </c:pt>
                <c:pt idx="6">
                  <c:v>-2.7840244531828807E-2</c:v>
                </c:pt>
                <c:pt idx="7">
                  <c:v>-1.4140540926087553</c:v>
                </c:pt>
                <c:pt idx="8">
                  <c:v>-0.16535574379376813</c:v>
                </c:pt>
                <c:pt idx="9">
                  <c:v>0.42213763351695083</c:v>
                </c:pt>
                <c:pt idx="10">
                  <c:v>0.63157429314628621</c:v>
                </c:pt>
                <c:pt idx="11">
                  <c:v>-1.339304287835011</c:v>
                </c:pt>
                <c:pt idx="12">
                  <c:v>9.9785091635126111E-2</c:v>
                </c:pt>
                <c:pt idx="13">
                  <c:v>0.17258291874681872</c:v>
                </c:pt>
                <c:pt idx="14">
                  <c:v>-0.24747576141735889</c:v>
                </c:pt>
                <c:pt idx="15">
                  <c:v>-0.27063795481993924</c:v>
                </c:pt>
                <c:pt idx="16">
                  <c:v>-0.59933957615503497</c:v>
                </c:pt>
                <c:pt idx="17">
                  <c:v>-1.625433008301453</c:v>
                </c:pt>
                <c:pt idx="18">
                  <c:v>-0.58433729375968579</c:v>
                </c:pt>
                <c:pt idx="19">
                  <c:v>-0.41993084877164089</c:v>
                </c:pt>
                <c:pt idx="20">
                  <c:v>-0.46027599112855483</c:v>
                </c:pt>
                <c:pt idx="21">
                  <c:v>0.7422881740079641</c:v>
                </c:pt>
                <c:pt idx="22">
                  <c:v>0.99503153857495352</c:v>
                </c:pt>
                <c:pt idx="23">
                  <c:v>0.70653172083473303</c:v>
                </c:pt>
                <c:pt idx="24">
                  <c:v>0.54100100080358304</c:v>
                </c:pt>
                <c:pt idx="25">
                  <c:v>0.36734584035243939</c:v>
                </c:pt>
                <c:pt idx="26">
                  <c:v>0.7241868024577095</c:v>
                </c:pt>
                <c:pt idx="27">
                  <c:v>-0.61732132449521093</c:v>
                </c:pt>
                <c:pt idx="28">
                  <c:v>-1.2758200380048907</c:v>
                </c:pt>
                <c:pt idx="29">
                  <c:v>0.13727863186372699</c:v>
                </c:pt>
                <c:pt idx="30">
                  <c:v>0.24261917136567795</c:v>
                </c:pt>
                <c:pt idx="31">
                  <c:v>0.88307718060893181</c:v>
                </c:pt>
                <c:pt idx="32">
                  <c:v>0.870367468100676</c:v>
                </c:pt>
                <c:pt idx="33">
                  <c:v>0.82775241099049746</c:v>
                </c:pt>
                <c:pt idx="34">
                  <c:v>0.90656971251542673</c:v>
                </c:pt>
                <c:pt idx="35">
                  <c:v>0.97700120127527001</c:v>
                </c:pt>
                <c:pt idx="36">
                  <c:v>1.0374251194646258</c:v>
                </c:pt>
                <c:pt idx="37">
                  <c:v>0.83076436739931703</c:v>
                </c:pt>
                <c:pt idx="38">
                  <c:v>0.81578705057244905</c:v>
                </c:pt>
                <c:pt idx="39">
                  <c:v>0.90916820791196074</c:v>
                </c:pt>
                <c:pt idx="40">
                  <c:v>0.90480156543666379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C-4989-90B3-EF46FB378688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 -GPRC_IND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Sheet1!$E$2:$E$42</c:f>
              <c:numCache>
                <c:formatCode>#,##0.00</c:formatCode>
                <c:ptCount val="41"/>
                <c:pt idx="0">
                  <c:v>-8.9247770607471466E-2</c:v>
                </c:pt>
                <c:pt idx="1">
                  <c:v>-0.3635161817073822</c:v>
                </c:pt>
                <c:pt idx="2">
                  <c:v>-0.30866771936416626</c:v>
                </c:pt>
                <c:pt idx="3">
                  <c:v>-0.35365745425224304</c:v>
                </c:pt>
                <c:pt idx="4">
                  <c:v>-0.26218515634536743</c:v>
                </c:pt>
                <c:pt idx="5">
                  <c:v>-0.20709292590618134</c:v>
                </c:pt>
                <c:pt idx="6">
                  <c:v>-0.17255109548568726</c:v>
                </c:pt>
                <c:pt idx="7">
                  <c:v>-0.34510219097137451</c:v>
                </c:pt>
                <c:pt idx="8">
                  <c:v>-0.15501129627227783</c:v>
                </c:pt>
                <c:pt idx="9">
                  <c:v>-0.1681661456823349</c:v>
                </c:pt>
                <c:pt idx="10">
                  <c:v>-7.9225353896617889E-2</c:v>
                </c:pt>
                <c:pt idx="11">
                  <c:v>-9.2224054038524628E-2</c:v>
                </c:pt>
                <c:pt idx="12">
                  <c:v>-0.18089565634727478</c:v>
                </c:pt>
                <c:pt idx="13">
                  <c:v>-0.21399910748004913</c:v>
                </c:pt>
                <c:pt idx="14">
                  <c:v>-0.11971951276063919</c:v>
                </c:pt>
                <c:pt idx="15">
                  <c:v>-0.11605775356292725</c:v>
                </c:pt>
                <c:pt idx="16">
                  <c:v>-0.15320836007595062</c:v>
                </c:pt>
                <c:pt idx="17">
                  <c:v>-0.32299742102622986</c:v>
                </c:pt>
                <c:pt idx="18">
                  <c:v>-0.22953328490257263</c:v>
                </c:pt>
                <c:pt idx="19">
                  <c:v>-9.7956277430057526E-2</c:v>
                </c:pt>
                <c:pt idx="20">
                  <c:v>-0.21509231626987457</c:v>
                </c:pt>
                <c:pt idx="21">
                  <c:v>-0.11810857802629471</c:v>
                </c:pt>
                <c:pt idx="22">
                  <c:v>-0.18354517221450806</c:v>
                </c:pt>
                <c:pt idx="23">
                  <c:v>-0.11803588271141052</c:v>
                </c:pt>
                <c:pt idx="24">
                  <c:v>-0.14159131050109863</c:v>
                </c:pt>
                <c:pt idx="25">
                  <c:v>-0.13509456813335419</c:v>
                </c:pt>
                <c:pt idx="26">
                  <c:v>-0.32585084438323975</c:v>
                </c:pt>
                <c:pt idx="27">
                  <c:v>-0.18319432437419891</c:v>
                </c:pt>
                <c:pt idx="28">
                  <c:v>-0.31941378116607666</c:v>
                </c:pt>
                <c:pt idx="29">
                  <c:v>-0.1879427433013916</c:v>
                </c:pt>
                <c:pt idx="30">
                  <c:v>-0.19035238027572632</c:v>
                </c:pt>
                <c:pt idx="31">
                  <c:v>-0.15001499652862549</c:v>
                </c:pt>
                <c:pt idx="32">
                  <c:v>-0.44324532151222229</c:v>
                </c:pt>
                <c:pt idx="33">
                  <c:v>-0.26264861226081848</c:v>
                </c:pt>
                <c:pt idx="34">
                  <c:v>-0.16089712083339691</c:v>
                </c:pt>
                <c:pt idx="35">
                  <c:v>-0.15223017334938049</c:v>
                </c:pt>
                <c:pt idx="36">
                  <c:v>-0.22030843794345856</c:v>
                </c:pt>
                <c:pt idx="37">
                  <c:v>-0.17175871133804321</c:v>
                </c:pt>
                <c:pt idx="38">
                  <c:v>-0.47818291187286377</c:v>
                </c:pt>
                <c:pt idx="39">
                  <c:v>-0.43596729636192322</c:v>
                </c:pt>
                <c:pt idx="40">
                  <c:v>-0.33203125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C-4989-90B3-EF46FB378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641727"/>
        <c:axId val="797726271"/>
      </c:lineChart>
      <c:dateAx>
        <c:axId val="8016417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726271"/>
        <c:crosses val="autoZero"/>
        <c:auto val="1"/>
        <c:lblOffset val="100"/>
        <c:baseTimeUnit val="months"/>
      </c:dateAx>
      <c:valAx>
        <c:axId val="79772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4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29</xdr:row>
      <xdr:rowOff>164306</xdr:rowOff>
    </xdr:from>
    <xdr:to>
      <xdr:col>13</xdr:col>
      <xdr:colOff>159543</xdr:colOff>
      <xdr:row>45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D90DA-B09F-411B-B77A-6B1796AE4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261939</xdr:colOff>
      <xdr:row>4</xdr:row>
      <xdr:rowOff>59531</xdr:rowOff>
    </xdr:from>
    <xdr:to>
      <xdr:col>14</xdr:col>
      <xdr:colOff>335757</xdr:colOff>
      <xdr:row>19</xdr:row>
      <xdr:rowOff>88106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74ED5D-3148-462D-BF36-1B1231941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121443</xdr:colOff>
      <xdr:row>6</xdr:row>
      <xdr:rowOff>164306</xdr:rowOff>
    </xdr:from>
    <xdr:to>
      <xdr:col>13</xdr:col>
      <xdr:colOff>159543</xdr:colOff>
      <xdr:row>22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27E2B6-4C07-47F3-B72B-03C5B61D5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D1" activeCellId="1" sqref="A1:A42 D1:E42"/>
    </sheetView>
  </sheetViews>
  <sheetFormatPr defaultRowHeight="14.25" x14ac:dyDescent="0.45"/>
  <sheetData>
    <row r="1" spans="1:7" x14ac:dyDescent="0.45">
      <c r="A1" t="s">
        <v>6</v>
      </c>
      <c r="B1" t="s">
        <v>7</v>
      </c>
      <c r="C1" s="1" t="s">
        <v>0</v>
      </c>
      <c r="D1" t="s">
        <v>11</v>
      </c>
      <c r="E1" t="s">
        <v>12</v>
      </c>
    </row>
    <row r="2" spans="1:7" x14ac:dyDescent="0.45">
      <c r="A2" s="3">
        <v>43466</v>
      </c>
      <c r="B2" s="4">
        <v>8.9247770607471466E-2</v>
      </c>
      <c r="C2">
        <v>-421.17601811574769</v>
      </c>
      <c r="D2">
        <f>STANDARDIZE(C2,$F$2,$F$3)</f>
        <v>0.61675514627628703</v>
      </c>
      <c r="E2" s="4">
        <f>-B2</f>
        <v>-8.9247770607471466E-2</v>
      </c>
      <c r="F2">
        <f>AVERAGE(C2:C42)</f>
        <v>-646.51329461872342</v>
      </c>
      <c r="G2" t="s">
        <v>8</v>
      </c>
    </row>
    <row r="3" spans="1:7" x14ac:dyDescent="0.45">
      <c r="A3" s="3">
        <v>43497</v>
      </c>
      <c r="B3" s="4">
        <v>0.3635161817073822</v>
      </c>
      <c r="C3">
        <v>-2034.932806555604</v>
      </c>
      <c r="D3">
        <f t="shared" ref="D3:D42" si="0">STANDARDIZE(C3,$F$2,$F$3)</f>
        <v>-3.8001474610268202</v>
      </c>
      <c r="E3" s="4">
        <f t="shared" ref="E3:E42" si="1">-B3</f>
        <v>-0.3635161817073822</v>
      </c>
      <c r="F3">
        <f>STDEV(C2:C42)</f>
        <v>365.3593778073344</v>
      </c>
      <c r="G3" t="s">
        <v>9</v>
      </c>
    </row>
    <row r="4" spans="1:7" x14ac:dyDescent="0.45">
      <c r="A4" s="3">
        <v>43525</v>
      </c>
      <c r="B4" s="4">
        <v>0.30866771936416626</v>
      </c>
      <c r="C4">
        <v>-1289.8752853770029</v>
      </c>
      <c r="D4">
        <f t="shared" si="0"/>
        <v>-1.7609018129474281</v>
      </c>
      <c r="E4" s="4">
        <f t="shared" si="1"/>
        <v>-0.30866771936416626</v>
      </c>
      <c r="F4">
        <f>CORREL(B2:B42,C2:C42)</f>
        <v>-0.1940538164979228</v>
      </c>
      <c r="G4" t="s">
        <v>10</v>
      </c>
    </row>
    <row r="5" spans="1:7" x14ac:dyDescent="0.45">
      <c r="A5" s="3">
        <v>43556</v>
      </c>
      <c r="B5" s="4">
        <v>0.35365745425224304</v>
      </c>
      <c r="C5">
        <v>-931.22523743532031</v>
      </c>
      <c r="D5">
        <f t="shared" si="0"/>
        <v>-0.77926545782200929</v>
      </c>
      <c r="E5" s="4">
        <f t="shared" si="1"/>
        <v>-0.35365745425224304</v>
      </c>
    </row>
    <row r="6" spans="1:7" x14ac:dyDescent="0.45">
      <c r="A6" s="3">
        <v>43586</v>
      </c>
      <c r="B6" s="4">
        <v>0.26218515634536743</v>
      </c>
      <c r="C6">
        <v>-669.6095330450803</v>
      </c>
      <c r="D6">
        <f t="shared" si="0"/>
        <v>-6.3215124146987836E-2</v>
      </c>
      <c r="E6" s="4">
        <f t="shared" si="1"/>
        <v>-0.26218515634536743</v>
      </c>
    </row>
    <row r="7" spans="1:7" x14ac:dyDescent="0.45">
      <c r="A7" s="3">
        <v>43617</v>
      </c>
      <c r="B7" s="4">
        <v>0.20709292590618134</v>
      </c>
      <c r="C7">
        <v>-614.06069592216443</v>
      </c>
      <c r="D7">
        <f t="shared" si="0"/>
        <v>8.8823773708286424E-2</v>
      </c>
      <c r="E7" s="4">
        <f t="shared" si="1"/>
        <v>-0.20709292590618134</v>
      </c>
    </row>
    <row r="8" spans="1:7" x14ac:dyDescent="0.45">
      <c r="A8" s="3">
        <v>43647</v>
      </c>
      <c r="B8" s="4">
        <v>0.17255109548568726</v>
      </c>
      <c r="C8">
        <v>-656.68498903887644</v>
      </c>
      <c r="D8">
        <f t="shared" si="0"/>
        <v>-2.7840244531828807E-2</v>
      </c>
      <c r="E8" s="4">
        <f t="shared" si="1"/>
        <v>-0.17255109548568726</v>
      </c>
    </row>
    <row r="9" spans="1:7" x14ac:dyDescent="0.45">
      <c r="A9" s="3">
        <v>43678</v>
      </c>
      <c r="B9" s="4">
        <v>0.34510219097137451</v>
      </c>
      <c r="C9">
        <v>-1163.1512180801731</v>
      </c>
      <c r="D9">
        <f t="shared" si="0"/>
        <v>-1.4140540926087553</v>
      </c>
      <c r="E9" s="4">
        <f t="shared" si="1"/>
        <v>-0.34510219097137451</v>
      </c>
    </row>
    <row r="10" spans="1:7" x14ac:dyDescent="0.45">
      <c r="A10" s="3">
        <v>43709</v>
      </c>
      <c r="B10" s="4">
        <v>0.15501129627227783</v>
      </c>
      <c r="C10">
        <v>-706.92756628808354</v>
      </c>
      <c r="D10">
        <f t="shared" si="0"/>
        <v>-0.16535574379376813</v>
      </c>
      <c r="E10" s="4">
        <f t="shared" si="1"/>
        <v>-0.15501129627227783</v>
      </c>
    </row>
    <row r="11" spans="1:7" x14ac:dyDescent="0.45">
      <c r="A11" s="3">
        <v>43739</v>
      </c>
      <c r="B11" s="4">
        <v>0.1681661456823349</v>
      </c>
      <c r="C11">
        <v>-492.28135148790972</v>
      </c>
      <c r="D11">
        <f t="shared" si="0"/>
        <v>0.42213763351695083</v>
      </c>
      <c r="E11" s="4">
        <f t="shared" si="1"/>
        <v>-0.1681661456823349</v>
      </c>
    </row>
    <row r="12" spans="1:7" x14ac:dyDescent="0.45">
      <c r="A12" s="3">
        <v>43770</v>
      </c>
      <c r="B12" s="4">
        <v>7.9225353896617889E-2</v>
      </c>
      <c r="C12">
        <v>-415.76170383568927</v>
      </c>
      <c r="D12">
        <f t="shared" si="0"/>
        <v>0.63157429314628621</v>
      </c>
      <c r="E12" s="4">
        <f t="shared" si="1"/>
        <v>-7.9225353896617889E-2</v>
      </c>
    </row>
    <row r="13" spans="1:7" x14ac:dyDescent="0.45">
      <c r="A13" s="3">
        <v>43800</v>
      </c>
      <c r="B13" s="4">
        <v>9.2224054038524628E-2</v>
      </c>
      <c r="C13">
        <v>-1135.8406759168181</v>
      </c>
      <c r="D13">
        <f t="shared" si="0"/>
        <v>-1.339304287835011</v>
      </c>
      <c r="E13" s="4">
        <f t="shared" si="1"/>
        <v>-9.2224054038524628E-2</v>
      </c>
    </row>
    <row r="14" spans="1:7" x14ac:dyDescent="0.45">
      <c r="A14" s="3">
        <v>43831</v>
      </c>
      <c r="B14" s="4">
        <v>0.18089565634727478</v>
      </c>
      <c r="C14">
        <v>-610.0558756244659</v>
      </c>
      <c r="D14">
        <f t="shared" si="0"/>
        <v>9.9785091635126111E-2</v>
      </c>
      <c r="E14" s="4">
        <f t="shared" si="1"/>
        <v>-0.18089565634727478</v>
      </c>
    </row>
    <row r="15" spans="1:7" x14ac:dyDescent="0.45">
      <c r="A15" s="3">
        <v>43862</v>
      </c>
      <c r="B15" s="4">
        <v>0.21399910748004913</v>
      </c>
      <c r="C15">
        <v>-583.45850680521198</v>
      </c>
      <c r="D15">
        <f t="shared" si="0"/>
        <v>0.17258291874681872</v>
      </c>
      <c r="E15" s="4">
        <f t="shared" si="1"/>
        <v>-0.21399910748004913</v>
      </c>
    </row>
    <row r="16" spans="1:7" x14ac:dyDescent="0.45">
      <c r="A16" s="3">
        <v>43891</v>
      </c>
      <c r="B16" s="4">
        <v>0.11971951276063919</v>
      </c>
      <c r="C16">
        <v>-736.93088483256599</v>
      </c>
      <c r="D16">
        <f t="shared" si="0"/>
        <v>-0.24747576141735889</v>
      </c>
      <c r="E16" s="4">
        <f t="shared" si="1"/>
        <v>-0.11971951276063919</v>
      </c>
    </row>
    <row r="17" spans="1:5" x14ac:dyDescent="0.45">
      <c r="A17" s="3">
        <v>43922</v>
      </c>
      <c r="B17" s="4">
        <v>0.11605775356292725</v>
      </c>
      <c r="C17">
        <v>-745.39340940278589</v>
      </c>
      <c r="D17">
        <f t="shared" si="0"/>
        <v>-0.27063795481993924</v>
      </c>
      <c r="E17" s="4">
        <f t="shared" si="1"/>
        <v>-0.11605775356292725</v>
      </c>
    </row>
    <row r="18" spans="1:5" x14ac:dyDescent="0.45">
      <c r="A18" s="3">
        <v>43952</v>
      </c>
      <c r="B18" s="4">
        <v>0.15320836007595062</v>
      </c>
      <c r="C18">
        <v>-865.48762925803851</v>
      </c>
      <c r="D18">
        <f t="shared" si="0"/>
        <v>-0.59933957615503497</v>
      </c>
      <c r="E18" s="4">
        <f t="shared" si="1"/>
        <v>-0.15320836007595062</v>
      </c>
    </row>
    <row r="19" spans="1:5" x14ac:dyDescent="0.45">
      <c r="A19" s="3">
        <v>43983</v>
      </c>
      <c r="B19" s="4">
        <v>0.32299742102622986</v>
      </c>
      <c r="C19">
        <v>-1240.3804871992461</v>
      </c>
      <c r="D19">
        <f t="shared" si="0"/>
        <v>-1.625433008301453</v>
      </c>
      <c r="E19" s="4">
        <f t="shared" si="1"/>
        <v>-0.32299742102622986</v>
      </c>
    </row>
    <row r="20" spans="1:5" x14ac:dyDescent="0.45">
      <c r="A20" s="3">
        <v>44013</v>
      </c>
      <c r="B20" s="4">
        <v>0.22953328490257263</v>
      </c>
      <c r="C20">
        <v>-860.00640469638381</v>
      </c>
      <c r="D20">
        <f t="shared" si="0"/>
        <v>-0.58433729375968579</v>
      </c>
      <c r="E20" s="4">
        <f t="shared" si="1"/>
        <v>-0.22953328490257263</v>
      </c>
    </row>
    <row r="21" spans="1:5" x14ac:dyDescent="0.45">
      <c r="A21" s="3">
        <v>44044</v>
      </c>
      <c r="B21" s="4">
        <v>9.7956277430057526E-2</v>
      </c>
      <c r="C21">
        <v>-799.93896824803596</v>
      </c>
      <c r="D21">
        <f t="shared" si="0"/>
        <v>-0.41993084877164089</v>
      </c>
      <c r="E21" s="4">
        <f t="shared" si="1"/>
        <v>-9.7956277430057526E-2</v>
      </c>
    </row>
    <row r="22" spans="1:5" x14ac:dyDescent="0.45">
      <c r="A22" s="3">
        <v>44075</v>
      </c>
      <c r="B22" s="4">
        <v>0.21509231626987457</v>
      </c>
      <c r="C22">
        <v>-814.67944435710638</v>
      </c>
      <c r="D22">
        <f t="shared" si="0"/>
        <v>-0.46027599112855483</v>
      </c>
      <c r="E22" s="4">
        <f t="shared" si="1"/>
        <v>-0.21509231626987457</v>
      </c>
    </row>
    <row r="23" spans="1:5" x14ac:dyDescent="0.45">
      <c r="A23" s="3">
        <v>44105</v>
      </c>
      <c r="B23" s="4">
        <v>0.11810857802629471</v>
      </c>
      <c r="C23">
        <v>-375.31134920943128</v>
      </c>
      <c r="D23">
        <f t="shared" si="0"/>
        <v>0.7422881740079641</v>
      </c>
      <c r="E23" s="4">
        <f t="shared" si="1"/>
        <v>-0.11810857802629471</v>
      </c>
    </row>
    <row r="24" spans="1:5" x14ac:dyDescent="0.45">
      <c r="A24" s="3">
        <v>44136</v>
      </c>
      <c r="B24" s="4">
        <v>0.18354517221450806</v>
      </c>
      <c r="C24">
        <v>-282.96919078630373</v>
      </c>
      <c r="D24">
        <f t="shared" si="0"/>
        <v>0.99503153857495352</v>
      </c>
      <c r="E24" s="4">
        <f t="shared" si="1"/>
        <v>-0.18354517221450806</v>
      </c>
    </row>
    <row r="25" spans="1:5" x14ac:dyDescent="0.45">
      <c r="A25" s="3">
        <v>44166</v>
      </c>
      <c r="B25" s="4">
        <v>0.11803588271141052</v>
      </c>
      <c r="C25">
        <v>-388.3753046934001</v>
      </c>
      <c r="D25">
        <f t="shared" si="0"/>
        <v>0.70653172083473303</v>
      </c>
      <c r="E25" s="4">
        <f t="shared" si="1"/>
        <v>-0.11803588271141052</v>
      </c>
    </row>
    <row r="26" spans="1:5" x14ac:dyDescent="0.45">
      <c r="A26" s="3">
        <v>44197</v>
      </c>
      <c r="B26" s="4">
        <v>0.14159131050109863</v>
      </c>
      <c r="C26">
        <v>-448.85350557198109</v>
      </c>
      <c r="D26">
        <f t="shared" si="0"/>
        <v>0.54100100080358304</v>
      </c>
      <c r="E26" s="4">
        <f t="shared" si="1"/>
        <v>-0.14159131050109863</v>
      </c>
    </row>
    <row r="27" spans="1:5" x14ac:dyDescent="0.45">
      <c r="A27" s="3">
        <v>44228</v>
      </c>
      <c r="B27" s="4">
        <v>0.13509456813335419</v>
      </c>
      <c r="C27">
        <v>-512.30004694744378</v>
      </c>
      <c r="D27">
        <f t="shared" si="0"/>
        <v>0.36734584035243939</v>
      </c>
      <c r="E27" s="4">
        <f t="shared" si="1"/>
        <v>-0.13509456813335419</v>
      </c>
    </row>
    <row r="28" spans="1:5" x14ac:dyDescent="0.45">
      <c r="A28" s="3">
        <v>44256</v>
      </c>
      <c r="B28" s="4">
        <v>0.32585084438323975</v>
      </c>
      <c r="C28">
        <v>-381.92485505649171</v>
      </c>
      <c r="D28">
        <f t="shared" si="0"/>
        <v>0.7241868024577095</v>
      </c>
      <c r="E28" s="4">
        <f t="shared" si="1"/>
        <v>-0.32585084438323975</v>
      </c>
    </row>
    <row r="29" spans="1:5" x14ac:dyDescent="0.45">
      <c r="A29" s="3">
        <v>44287</v>
      </c>
      <c r="B29" s="4">
        <v>0.18319432437419891</v>
      </c>
      <c r="C29">
        <v>-872.05742964349326</v>
      </c>
      <c r="D29">
        <f t="shared" si="0"/>
        <v>-0.61732132449521093</v>
      </c>
      <c r="E29" s="4">
        <f t="shared" si="1"/>
        <v>-0.18319432437419891</v>
      </c>
    </row>
    <row r="30" spans="1:5" x14ac:dyDescent="0.45">
      <c r="A30" s="3">
        <v>44317</v>
      </c>
      <c r="B30" s="4">
        <v>0.31941378116607666</v>
      </c>
      <c r="C30">
        <v>-1112.64610989832</v>
      </c>
      <c r="D30">
        <f t="shared" si="0"/>
        <v>-1.2758200380048907</v>
      </c>
      <c r="E30" s="4">
        <f t="shared" si="1"/>
        <v>-0.31941378116607666</v>
      </c>
    </row>
    <row r="31" spans="1:5" x14ac:dyDescent="0.45">
      <c r="A31" s="3">
        <v>44348</v>
      </c>
      <c r="B31" s="4">
        <v>0.1879427433013916</v>
      </c>
      <c r="C31">
        <v>-596.35725909475002</v>
      </c>
      <c r="D31">
        <f t="shared" si="0"/>
        <v>0.13727863186372699</v>
      </c>
      <c r="E31" s="4">
        <f t="shared" si="1"/>
        <v>-0.1879427433013916</v>
      </c>
    </row>
    <row r="32" spans="1:5" x14ac:dyDescent="0.45">
      <c r="A32" s="3">
        <v>44378</v>
      </c>
      <c r="B32" s="4">
        <v>0.19035238027572632</v>
      </c>
      <c r="C32">
        <v>-557.87010512442828</v>
      </c>
      <c r="D32">
        <f t="shared" si="0"/>
        <v>0.24261917136567795</v>
      </c>
      <c r="E32" s="4">
        <f t="shared" si="1"/>
        <v>-0.19035238027572632</v>
      </c>
    </row>
    <row r="33" spans="1:5" x14ac:dyDescent="0.45">
      <c r="A33" s="3">
        <v>44409</v>
      </c>
      <c r="B33" s="4">
        <v>0.15001499652862549</v>
      </c>
      <c r="C33">
        <v>-323.87276535558902</v>
      </c>
      <c r="D33">
        <f t="shared" si="0"/>
        <v>0.88307718060893181</v>
      </c>
      <c r="E33" s="4">
        <f t="shared" si="1"/>
        <v>-0.15001499652862549</v>
      </c>
    </row>
    <row r="34" spans="1:5" x14ac:dyDescent="0.45">
      <c r="A34" s="3">
        <v>44440</v>
      </c>
      <c r="B34" s="4">
        <v>0.44324532151222229</v>
      </c>
      <c r="C34">
        <v>-328.51637800971548</v>
      </c>
      <c r="D34">
        <f t="shared" si="0"/>
        <v>0.870367468100676</v>
      </c>
      <c r="E34" s="4">
        <f t="shared" si="1"/>
        <v>-0.44324532151222229</v>
      </c>
    </row>
    <row r="35" spans="1:5" x14ac:dyDescent="0.45">
      <c r="A35" s="3">
        <v>44470</v>
      </c>
      <c r="B35" s="4">
        <v>0.26264861226081848</v>
      </c>
      <c r="C35">
        <v>-344.08618876071432</v>
      </c>
      <c r="D35">
        <f t="shared" si="0"/>
        <v>0.82775241099049746</v>
      </c>
      <c r="E35" s="4">
        <f t="shared" si="1"/>
        <v>-0.26264861226081848</v>
      </c>
    </row>
    <row r="36" spans="1:5" x14ac:dyDescent="0.45">
      <c r="A36" s="3">
        <v>44501</v>
      </c>
      <c r="B36" s="4">
        <v>0.16089712083339691</v>
      </c>
      <c r="C36">
        <v>-315.2895485151131</v>
      </c>
      <c r="D36">
        <f t="shared" si="0"/>
        <v>0.90656971251542673</v>
      </c>
      <c r="E36" s="4">
        <f t="shared" si="1"/>
        <v>-0.16089712083339691</v>
      </c>
    </row>
    <row r="37" spans="1:5" x14ac:dyDescent="0.45">
      <c r="A37" s="3">
        <v>44531</v>
      </c>
      <c r="B37" s="4">
        <v>0.15223017334938049</v>
      </c>
      <c r="C37">
        <v>-289.55674360377247</v>
      </c>
      <c r="D37">
        <f t="shared" si="0"/>
        <v>0.97700120127527001</v>
      </c>
      <c r="E37" s="4">
        <f t="shared" si="1"/>
        <v>-0.15223017334938049</v>
      </c>
    </row>
    <row r="38" spans="1:5" x14ac:dyDescent="0.45">
      <c r="A38" s="3">
        <v>44562</v>
      </c>
      <c r="B38" s="4">
        <v>0.22030843794345856</v>
      </c>
      <c r="C38">
        <v>-267.48029844942818</v>
      </c>
      <c r="D38">
        <f t="shared" si="0"/>
        <v>1.0374251194646258</v>
      </c>
      <c r="E38" s="4">
        <f t="shared" si="1"/>
        <v>-0.22030843794345856</v>
      </c>
    </row>
    <row r="39" spans="1:5" x14ac:dyDescent="0.45">
      <c r="A39" s="3">
        <v>44593</v>
      </c>
      <c r="B39" s="4">
        <v>0.17175871133804321</v>
      </c>
      <c r="C39">
        <v>-342.98574224120517</v>
      </c>
      <c r="D39">
        <f t="shared" si="0"/>
        <v>0.83076436739931703</v>
      </c>
      <c r="E39" s="4">
        <f t="shared" si="1"/>
        <v>-0.17175871133804321</v>
      </c>
    </row>
    <row r="40" spans="1:5" x14ac:dyDescent="0.45">
      <c r="A40" s="3">
        <v>44621</v>
      </c>
      <c r="B40" s="4">
        <v>0.47818291187286377</v>
      </c>
      <c r="C40">
        <v>-348.45784539829299</v>
      </c>
      <c r="D40">
        <f t="shared" si="0"/>
        <v>0.81578705057244905</v>
      </c>
      <c r="E40" s="4">
        <f t="shared" si="1"/>
        <v>-0.47818291187286377</v>
      </c>
    </row>
    <row r="41" spans="1:5" x14ac:dyDescent="0.45">
      <c r="A41" s="3">
        <v>44652</v>
      </c>
      <c r="B41" s="4">
        <v>0.43596729636192322</v>
      </c>
      <c r="C41">
        <v>-314.34016385380022</v>
      </c>
      <c r="D41">
        <f t="shared" si="0"/>
        <v>0.90916820791196074</v>
      </c>
      <c r="E41" s="4">
        <f t="shared" si="1"/>
        <v>-0.43596729636192322</v>
      </c>
    </row>
    <row r="42" spans="1:5" x14ac:dyDescent="0.45">
      <c r="A42" s="3">
        <v>44682</v>
      </c>
      <c r="B42" s="4">
        <v>0.33203125</v>
      </c>
      <c r="C42">
        <v>-315.93555763168177</v>
      </c>
      <c r="D42">
        <f t="shared" si="0"/>
        <v>0.90480156543666379</v>
      </c>
      <c r="E42" s="4">
        <f t="shared" si="1"/>
        <v>-0.33203125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3F40-F0E8-47CF-9F2D-F590FD635B7E}">
  <dimension ref="A1:B3"/>
  <sheetViews>
    <sheetView workbookViewId="0">
      <selection activeCell="G21" sqref="G21"/>
    </sheetView>
  </sheetViews>
  <sheetFormatPr defaultRowHeight="14.25" x14ac:dyDescent="0.45"/>
  <sheetData>
    <row r="1" spans="1:2" x14ac:dyDescent="0.45">
      <c r="B1" t="s">
        <v>1</v>
      </c>
    </row>
    <row r="2" spans="1:2" x14ac:dyDescent="0.45">
      <c r="A2" t="s">
        <v>2</v>
      </c>
      <c r="B2" s="2" t="s">
        <v>5</v>
      </c>
    </row>
    <row r="3" spans="1:2" x14ac:dyDescent="0.4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2022-06-23T15:00:39Z</dcterms:created>
  <dcterms:modified xsi:type="dcterms:W3CDTF">2022-06-27T13:51:32Z</dcterms:modified>
</cp:coreProperties>
</file>