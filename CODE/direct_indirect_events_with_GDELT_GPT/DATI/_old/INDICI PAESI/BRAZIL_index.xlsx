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DAE2394B-60C8-4EC4-8CD0-CD7318DD20F7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G3" i="1"/>
  <c r="G2" i="1"/>
  <c r="G4" i="1"/>
</calcChain>
</file>

<file path=xl/sharedStrings.xml><?xml version="1.0" encoding="utf-8"?>
<sst xmlns="http://schemas.openxmlformats.org/spreadsheetml/2006/main" count="11" uniqueCount="10">
  <si>
    <t>CWT_ID</t>
  </si>
  <si>
    <t>month</t>
  </si>
  <si>
    <t>GPRC_BRA</t>
  </si>
  <si>
    <t>CORR</t>
  </si>
  <si>
    <t>p-value</t>
  </si>
  <si>
    <t>media</t>
  </si>
  <si>
    <t>stdev</t>
  </si>
  <si>
    <t>CWT_stand</t>
  </si>
  <si>
    <t>BRAZIL</t>
  </si>
  <si>
    <t xml:space="preserve"> -GPRC_BRA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</si>
</sst>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GPRC_BRA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0.18274542689323425</c:v>
                </c:pt>
                <c:pt idx="1">
                  <c:v>0.20772354304790497</c:v>
                </c:pt>
                <c:pt idx="2">
                  <c:v>0.11262200772762299</c:v>
                </c:pt>
                <c:pt idx="3">
                  <c:v>3.1336735934019089E-2</c:v>
                </c:pt>
                <c:pt idx="4">
                  <c:v>0.11175104975700378</c:v>
                </c:pt>
                <c:pt idx="5">
                  <c:v>3.4515488892793655E-2</c:v>
                </c:pt>
                <c:pt idx="6">
                  <c:v>3.0970711261034012E-2</c:v>
                </c:pt>
                <c:pt idx="7">
                  <c:v>0.13273161649703979</c:v>
                </c:pt>
                <c:pt idx="8">
                  <c:v>3.5431154072284698E-2</c:v>
                </c:pt>
                <c:pt idx="9">
                  <c:v>0.13032875955104828</c:v>
                </c:pt>
                <c:pt idx="10">
                  <c:v>8.8028170168399811E-2</c:v>
                </c:pt>
                <c:pt idx="11">
                  <c:v>9.7077950835227966E-2</c:v>
                </c:pt>
                <c:pt idx="12">
                  <c:v>5.2945069968700409E-2</c:v>
                </c:pt>
                <c:pt idx="13">
                  <c:v>3.1208204105496407E-2</c:v>
                </c:pt>
                <c:pt idx="14">
                  <c:v>7.2686851024627686E-2</c:v>
                </c:pt>
                <c:pt idx="15">
                  <c:v>8.8203892111778259E-2</c:v>
                </c:pt>
                <c:pt idx="16">
                  <c:v>3.6049026995897293E-2</c:v>
                </c:pt>
                <c:pt idx="17">
                  <c:v>8.3056479692459106E-2</c:v>
                </c:pt>
                <c:pt idx="18">
                  <c:v>2.2503262385725975E-2</c:v>
                </c:pt>
                <c:pt idx="19">
                  <c:v>4.8978138715028763E-2</c:v>
                </c:pt>
                <c:pt idx="20">
                  <c:v>1.3443269766867161E-2</c:v>
                </c:pt>
                <c:pt idx="21">
                  <c:v>3.3745307475328445E-2</c:v>
                </c:pt>
                <c:pt idx="22">
                  <c:v>4.1297663003206253E-2</c:v>
                </c:pt>
                <c:pt idx="23">
                  <c:v>2.8328612446784973E-2</c:v>
                </c:pt>
                <c:pt idx="24">
                  <c:v>0.10505161434412003</c:v>
                </c:pt>
                <c:pt idx="25">
                  <c:v>3.0021015554666519E-2</c:v>
                </c:pt>
                <c:pt idx="26">
                  <c:v>4.5257061719894409E-2</c:v>
                </c:pt>
                <c:pt idx="27">
                  <c:v>6.2671743333339691E-2</c:v>
                </c:pt>
                <c:pt idx="28">
                  <c:v>4.2275354266166687E-2</c:v>
                </c:pt>
                <c:pt idx="29">
                  <c:v>3.8552358746528625E-2</c:v>
                </c:pt>
                <c:pt idx="30">
                  <c:v>1.392822340130806E-2</c:v>
                </c:pt>
                <c:pt idx="31">
                  <c:v>2.0002000033855438E-2</c:v>
                </c:pt>
                <c:pt idx="32">
                  <c:v>9.6357680857181549E-2</c:v>
                </c:pt>
                <c:pt idx="33">
                  <c:v>9.2157404869794846E-3</c:v>
                </c:pt>
                <c:pt idx="34">
                  <c:v>4.8756701871752739E-3</c:v>
                </c:pt>
                <c:pt idx="35">
                  <c:v>1.5223016962409019E-2</c:v>
                </c:pt>
                <c:pt idx="36">
                  <c:v>0.12517525255680084</c:v>
                </c:pt>
                <c:pt idx="37">
                  <c:v>0.19257794320583344</c:v>
                </c:pt>
                <c:pt idx="38">
                  <c:v>0.13448894023895264</c:v>
                </c:pt>
                <c:pt idx="39">
                  <c:v>9.6881620585918427E-2</c:v>
                </c:pt>
                <c:pt idx="40">
                  <c:v>3.2552082091569901E-2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E-4B4A-A48A-34315E214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185647"/>
        <c:axId val="765268527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-655.07634450159105</c:v>
                </c:pt>
                <c:pt idx="1">
                  <c:v>-404.22864551941791</c:v>
                </c:pt>
                <c:pt idx="2">
                  <c:v>-396.86818189819888</c:v>
                </c:pt>
                <c:pt idx="3">
                  <c:v>-288.92187474962049</c:v>
                </c:pt>
                <c:pt idx="4">
                  <c:v>-380.56413338329452</c:v>
                </c:pt>
                <c:pt idx="5">
                  <c:v>-244.94524638917861</c:v>
                </c:pt>
                <c:pt idx="6">
                  <c:v>-362.17199161468909</c:v>
                </c:pt>
                <c:pt idx="7">
                  <c:v>-696.62574239741275</c:v>
                </c:pt>
                <c:pt idx="8">
                  <c:v>-311.85455909088961</c:v>
                </c:pt>
                <c:pt idx="9">
                  <c:v>-193.3523064233743</c:v>
                </c:pt>
                <c:pt idx="10">
                  <c:v>-289.12606188960223</c:v>
                </c:pt>
                <c:pt idx="11">
                  <c:v>-218.52996171570251</c:v>
                </c:pt>
                <c:pt idx="12">
                  <c:v>-242.5086855484326</c:v>
                </c:pt>
                <c:pt idx="13">
                  <c:v>-208.48707619986089</c:v>
                </c:pt>
                <c:pt idx="14">
                  <c:v>-396.79433586187469</c:v>
                </c:pt>
                <c:pt idx="15">
                  <c:v>-414.80523920242229</c:v>
                </c:pt>
                <c:pt idx="16">
                  <c:v>-706.58085786932509</c:v>
                </c:pt>
                <c:pt idx="17">
                  <c:v>-690.07351219403654</c:v>
                </c:pt>
                <c:pt idx="18">
                  <c:v>-563.10497885185828</c:v>
                </c:pt>
                <c:pt idx="19">
                  <c:v>-410.59069593258067</c:v>
                </c:pt>
                <c:pt idx="20">
                  <c:v>-303.4878330627497</c:v>
                </c:pt>
                <c:pt idx="21">
                  <c:v>-119.69220559390649</c:v>
                </c:pt>
                <c:pt idx="22">
                  <c:v>-163.31873431345679</c:v>
                </c:pt>
                <c:pt idx="23">
                  <c:v>-201.16150065809509</c:v>
                </c:pt>
                <c:pt idx="24">
                  <c:v>-318.76919490045782</c:v>
                </c:pt>
                <c:pt idx="25">
                  <c:v>-216.93554419017909</c:v>
                </c:pt>
                <c:pt idx="26">
                  <c:v>-448.37530521203081</c:v>
                </c:pt>
                <c:pt idx="27">
                  <c:v>-387.67552539040253</c:v>
                </c:pt>
                <c:pt idx="28">
                  <c:v>-280.5121414373366</c:v>
                </c:pt>
                <c:pt idx="29">
                  <c:v>-223.36564306768179</c:v>
                </c:pt>
                <c:pt idx="30">
                  <c:v>-205.94115796132621</c:v>
                </c:pt>
                <c:pt idx="31">
                  <c:v>-139.5457327709702</c:v>
                </c:pt>
                <c:pt idx="32">
                  <c:v>-184.6032515075303</c:v>
                </c:pt>
                <c:pt idx="33">
                  <c:v>-251.36153845824421</c:v>
                </c:pt>
                <c:pt idx="34">
                  <c:v>-121.3186319035797</c:v>
                </c:pt>
                <c:pt idx="35">
                  <c:v>-102.93067648513571</c:v>
                </c:pt>
                <c:pt idx="36">
                  <c:v>-122.1858964282014</c:v>
                </c:pt>
                <c:pt idx="37">
                  <c:v>-176.00307881447031</c:v>
                </c:pt>
                <c:pt idx="38">
                  <c:v>-110.51728926588569</c:v>
                </c:pt>
                <c:pt idx="39">
                  <c:v>-94.478714315577975</c:v>
                </c:pt>
                <c:pt idx="40">
                  <c:v>-118.66302682733451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E-4B4A-A48A-34315E214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184047"/>
        <c:axId val="765268943"/>
      </c:lineChart>
      <c:dateAx>
        <c:axId val="9171856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68527"/>
        <c:crosses val="autoZero"/>
        <c:auto val="1"/>
        <c:lblOffset val="100"/>
        <c:baseTimeUnit val="months"/>
      </c:dateAx>
      <c:valAx>
        <c:axId val="7652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85647"/>
        <c:crosses val="autoZero"/>
        <c:crossBetween val="between"/>
      </c:valAx>
      <c:valAx>
        <c:axId val="76526894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84047"/>
        <c:crosses val="max"/>
        <c:crossBetween val="between"/>
      </c:valAx>
      <c:dateAx>
        <c:axId val="91718404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6526894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    CORR= -0,2186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GPRC_BRA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0.18274542689323425</c:v>
                </c:pt>
                <c:pt idx="1">
                  <c:v>0.20772354304790497</c:v>
                </c:pt>
                <c:pt idx="2">
                  <c:v>0.11262200772762299</c:v>
                </c:pt>
                <c:pt idx="3">
                  <c:v>3.1336735934019089E-2</c:v>
                </c:pt>
                <c:pt idx="4">
                  <c:v>0.11175104975700378</c:v>
                </c:pt>
                <c:pt idx="5">
                  <c:v>3.4515488892793655E-2</c:v>
                </c:pt>
                <c:pt idx="6">
                  <c:v>3.0970711261034012E-2</c:v>
                </c:pt>
                <c:pt idx="7">
                  <c:v>0.13273161649703979</c:v>
                </c:pt>
                <c:pt idx="8">
                  <c:v>3.5431154072284698E-2</c:v>
                </c:pt>
                <c:pt idx="9">
                  <c:v>0.13032875955104828</c:v>
                </c:pt>
                <c:pt idx="10">
                  <c:v>8.8028170168399811E-2</c:v>
                </c:pt>
                <c:pt idx="11">
                  <c:v>9.7077950835227966E-2</c:v>
                </c:pt>
                <c:pt idx="12">
                  <c:v>5.2945069968700409E-2</c:v>
                </c:pt>
                <c:pt idx="13">
                  <c:v>3.1208204105496407E-2</c:v>
                </c:pt>
                <c:pt idx="14">
                  <c:v>7.2686851024627686E-2</c:v>
                </c:pt>
                <c:pt idx="15">
                  <c:v>8.8203892111778259E-2</c:v>
                </c:pt>
                <c:pt idx="16">
                  <c:v>3.6049026995897293E-2</c:v>
                </c:pt>
                <c:pt idx="17">
                  <c:v>8.3056479692459106E-2</c:v>
                </c:pt>
                <c:pt idx="18">
                  <c:v>2.2503262385725975E-2</c:v>
                </c:pt>
                <c:pt idx="19">
                  <c:v>4.8978138715028763E-2</c:v>
                </c:pt>
                <c:pt idx="20">
                  <c:v>1.3443269766867161E-2</c:v>
                </c:pt>
                <c:pt idx="21">
                  <c:v>3.3745307475328445E-2</c:v>
                </c:pt>
                <c:pt idx="22">
                  <c:v>4.1297663003206253E-2</c:v>
                </c:pt>
                <c:pt idx="23">
                  <c:v>2.8328612446784973E-2</c:v>
                </c:pt>
                <c:pt idx="24">
                  <c:v>0.10505161434412003</c:v>
                </c:pt>
                <c:pt idx="25">
                  <c:v>3.0021015554666519E-2</c:v>
                </c:pt>
                <c:pt idx="26">
                  <c:v>4.5257061719894409E-2</c:v>
                </c:pt>
                <c:pt idx="27">
                  <c:v>6.2671743333339691E-2</c:v>
                </c:pt>
                <c:pt idx="28">
                  <c:v>4.2275354266166687E-2</c:v>
                </c:pt>
                <c:pt idx="29">
                  <c:v>3.8552358746528625E-2</c:v>
                </c:pt>
                <c:pt idx="30">
                  <c:v>1.392822340130806E-2</c:v>
                </c:pt>
                <c:pt idx="31">
                  <c:v>2.0002000033855438E-2</c:v>
                </c:pt>
                <c:pt idx="32">
                  <c:v>9.6357680857181549E-2</c:v>
                </c:pt>
                <c:pt idx="33">
                  <c:v>9.2157404869794846E-3</c:v>
                </c:pt>
                <c:pt idx="34">
                  <c:v>4.8756701871752739E-3</c:v>
                </c:pt>
                <c:pt idx="35">
                  <c:v>1.5223016962409019E-2</c:v>
                </c:pt>
                <c:pt idx="36">
                  <c:v>0.12517525255680084</c:v>
                </c:pt>
                <c:pt idx="37">
                  <c:v>0.19257794320583344</c:v>
                </c:pt>
                <c:pt idx="38">
                  <c:v>0.13448894023895264</c:v>
                </c:pt>
                <c:pt idx="39">
                  <c:v>9.6881620585918427E-2</c:v>
                </c:pt>
                <c:pt idx="40">
                  <c:v>3.2552082091569901E-2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D-441B-A350-121A401D00C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-2.0830871071346744</c:v>
                </c:pt>
                <c:pt idx="1">
                  <c:v>-0.60475920374626091</c:v>
                </c:pt>
                <c:pt idx="2">
                  <c:v>-0.56138157342605333</c:v>
                </c:pt>
                <c:pt idx="3">
                  <c:v>7.4781479187079919E-2</c:v>
                </c:pt>
                <c:pt idx="4">
                  <c:v>-0.46529645900969807</c:v>
                </c:pt>
                <c:pt idx="5">
                  <c:v>0.33395019815868049</c:v>
                </c:pt>
                <c:pt idx="6">
                  <c:v>-0.35690552502892753</c:v>
                </c:pt>
                <c:pt idx="7">
                  <c:v>-2.327951359538067</c:v>
                </c:pt>
                <c:pt idx="8">
                  <c:v>-6.0368363920334761E-2</c:v>
                </c:pt>
                <c:pt idx="9">
                  <c:v>0.63800434367712155</c:v>
                </c:pt>
                <c:pt idx="10">
                  <c:v>7.3578137287700823E-2</c:v>
                </c:pt>
                <c:pt idx="11">
                  <c:v>0.48962414919429748</c:v>
                </c:pt>
                <c:pt idx="12">
                  <c:v>0.34830965169879186</c:v>
                </c:pt>
                <c:pt idx="13">
                  <c:v>0.5488101730200895</c:v>
                </c:pt>
                <c:pt idx="14">
                  <c:v>-0.56094637447268181</c:v>
                </c:pt>
                <c:pt idx="15">
                  <c:v>-0.66709054514516353</c:v>
                </c:pt>
                <c:pt idx="16">
                  <c:v>-2.3866201256590891</c:v>
                </c:pt>
                <c:pt idx="17">
                  <c:v>-2.2893369142855162</c:v>
                </c:pt>
                <c:pt idx="18">
                  <c:v>-1.5410696331677274</c:v>
                </c:pt>
                <c:pt idx="19">
                  <c:v>-0.64225285701357937</c:v>
                </c:pt>
                <c:pt idx="20">
                  <c:v>-1.1060498639559978E-2</c:v>
                </c:pt>
                <c:pt idx="21">
                  <c:v>1.0721075180911113</c:v>
                </c:pt>
                <c:pt idx="22">
                  <c:v>0.81500205132471848</c:v>
                </c:pt>
                <c:pt idx="23">
                  <c:v>0.59198219642597971</c:v>
                </c:pt>
                <c:pt idx="24">
                  <c:v>-0.1011185844745997</c:v>
                </c:pt>
                <c:pt idx="25">
                  <c:v>0.4990205755007644</c:v>
                </c:pt>
                <c:pt idx="26">
                  <c:v>-0.8649299732202923</c:v>
                </c:pt>
                <c:pt idx="27">
                  <c:v>-0.50720622847817631</c:v>
                </c:pt>
                <c:pt idx="28">
                  <c:v>0.12434280052289119</c:v>
                </c:pt>
                <c:pt idx="29">
                  <c:v>0.46112589027650686</c:v>
                </c:pt>
                <c:pt idx="30">
                  <c:v>0.56381410563355461</c:v>
                </c:pt>
                <c:pt idx="31">
                  <c:v>0.9551041597759955</c:v>
                </c:pt>
                <c:pt idx="32">
                  <c:v>0.68956539870313927</c:v>
                </c:pt>
                <c:pt idx="33">
                  <c:v>0.2961368809926197</c:v>
                </c:pt>
                <c:pt idx="34">
                  <c:v>1.0625224535035114</c:v>
                </c:pt>
                <c:pt idx="35">
                  <c:v>1.1708887159474006</c:v>
                </c:pt>
                <c:pt idx="36">
                  <c:v>1.0574113787295774</c:v>
                </c:pt>
                <c:pt idx="37">
                  <c:v>0.74024904187665375</c:v>
                </c:pt>
                <c:pt idx="38">
                  <c:v>1.1261783143312274</c:v>
                </c:pt>
                <c:pt idx="39">
                  <c:v>1.2206989058129589</c:v>
                </c:pt>
                <c:pt idx="40">
                  <c:v>1.0781728066880234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D-441B-A350-121A401D0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759311"/>
        <c:axId val="681741903"/>
      </c:lineChart>
      <c:dateAx>
        <c:axId val="7317593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741903"/>
        <c:crosses val="autoZero"/>
        <c:auto val="1"/>
        <c:lblOffset val="100"/>
        <c:baseTimeUnit val="months"/>
      </c:dateAx>
      <c:valAx>
        <c:axId val="6817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     CORR= 0.2186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-2.0830871071346744</c:v>
                </c:pt>
                <c:pt idx="1">
                  <c:v>-0.60475920374626091</c:v>
                </c:pt>
                <c:pt idx="2">
                  <c:v>-0.56138157342605333</c:v>
                </c:pt>
                <c:pt idx="3">
                  <c:v>7.4781479187079919E-2</c:v>
                </c:pt>
                <c:pt idx="4">
                  <c:v>-0.46529645900969807</c:v>
                </c:pt>
                <c:pt idx="5">
                  <c:v>0.33395019815868049</c:v>
                </c:pt>
                <c:pt idx="6">
                  <c:v>-0.35690552502892753</c:v>
                </c:pt>
                <c:pt idx="7">
                  <c:v>-2.327951359538067</c:v>
                </c:pt>
                <c:pt idx="8">
                  <c:v>-6.0368363920334761E-2</c:v>
                </c:pt>
                <c:pt idx="9">
                  <c:v>0.63800434367712155</c:v>
                </c:pt>
                <c:pt idx="10">
                  <c:v>7.3578137287700823E-2</c:v>
                </c:pt>
                <c:pt idx="11">
                  <c:v>0.48962414919429748</c:v>
                </c:pt>
                <c:pt idx="12">
                  <c:v>0.34830965169879186</c:v>
                </c:pt>
                <c:pt idx="13">
                  <c:v>0.5488101730200895</c:v>
                </c:pt>
                <c:pt idx="14">
                  <c:v>-0.56094637447268181</c:v>
                </c:pt>
                <c:pt idx="15">
                  <c:v>-0.66709054514516353</c:v>
                </c:pt>
                <c:pt idx="16">
                  <c:v>-2.3866201256590891</c:v>
                </c:pt>
                <c:pt idx="17">
                  <c:v>-2.2893369142855162</c:v>
                </c:pt>
                <c:pt idx="18">
                  <c:v>-1.5410696331677274</c:v>
                </c:pt>
                <c:pt idx="19">
                  <c:v>-0.64225285701357937</c:v>
                </c:pt>
                <c:pt idx="20">
                  <c:v>-1.1060498639559978E-2</c:v>
                </c:pt>
                <c:pt idx="21">
                  <c:v>1.0721075180911113</c:v>
                </c:pt>
                <c:pt idx="22">
                  <c:v>0.81500205132471848</c:v>
                </c:pt>
                <c:pt idx="23">
                  <c:v>0.59198219642597971</c:v>
                </c:pt>
                <c:pt idx="24">
                  <c:v>-0.1011185844745997</c:v>
                </c:pt>
                <c:pt idx="25">
                  <c:v>0.4990205755007644</c:v>
                </c:pt>
                <c:pt idx="26">
                  <c:v>-0.8649299732202923</c:v>
                </c:pt>
                <c:pt idx="27">
                  <c:v>-0.50720622847817631</c:v>
                </c:pt>
                <c:pt idx="28">
                  <c:v>0.12434280052289119</c:v>
                </c:pt>
                <c:pt idx="29">
                  <c:v>0.46112589027650686</c:v>
                </c:pt>
                <c:pt idx="30">
                  <c:v>0.56381410563355461</c:v>
                </c:pt>
                <c:pt idx="31">
                  <c:v>0.9551041597759955</c:v>
                </c:pt>
                <c:pt idx="32">
                  <c:v>0.68956539870313927</c:v>
                </c:pt>
                <c:pt idx="33">
                  <c:v>0.2961368809926197</c:v>
                </c:pt>
                <c:pt idx="34">
                  <c:v>1.0625224535035114</c:v>
                </c:pt>
                <c:pt idx="35">
                  <c:v>1.1708887159474006</c:v>
                </c:pt>
                <c:pt idx="36">
                  <c:v>1.0574113787295774</c:v>
                </c:pt>
                <c:pt idx="37">
                  <c:v>0.74024904187665375</c:v>
                </c:pt>
                <c:pt idx="38">
                  <c:v>1.1261783143312274</c:v>
                </c:pt>
                <c:pt idx="39">
                  <c:v>1.2206989058129589</c:v>
                </c:pt>
                <c:pt idx="40">
                  <c:v>1.0781728066880234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D-48B1-8919-8BDA0C67E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227984"/>
        <c:axId val="845255616"/>
      </c:lineChart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 -GPRC_BRA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Sheet1!$E$2:$E$42</c:f>
              <c:numCache>
                <c:formatCode>#,##0.00</c:formatCode>
                <c:ptCount val="41"/>
                <c:pt idx="0">
                  <c:v>-0.18274542689323425</c:v>
                </c:pt>
                <c:pt idx="1">
                  <c:v>-0.20772354304790497</c:v>
                </c:pt>
                <c:pt idx="2">
                  <c:v>-0.11262200772762299</c:v>
                </c:pt>
                <c:pt idx="3">
                  <c:v>-3.1336735934019089E-2</c:v>
                </c:pt>
                <c:pt idx="4">
                  <c:v>-0.11175104975700378</c:v>
                </c:pt>
                <c:pt idx="5">
                  <c:v>-3.4515488892793655E-2</c:v>
                </c:pt>
                <c:pt idx="6">
                  <c:v>-3.0970711261034012E-2</c:v>
                </c:pt>
                <c:pt idx="7">
                  <c:v>-0.13273161649703979</c:v>
                </c:pt>
                <c:pt idx="8">
                  <c:v>-3.5431154072284698E-2</c:v>
                </c:pt>
                <c:pt idx="9">
                  <c:v>-0.13032875955104828</c:v>
                </c:pt>
                <c:pt idx="10">
                  <c:v>-8.8028170168399811E-2</c:v>
                </c:pt>
                <c:pt idx="11">
                  <c:v>-9.7077950835227966E-2</c:v>
                </c:pt>
                <c:pt idx="12">
                  <c:v>-5.2945069968700409E-2</c:v>
                </c:pt>
                <c:pt idx="13">
                  <c:v>-3.1208204105496407E-2</c:v>
                </c:pt>
                <c:pt idx="14">
                  <c:v>-7.2686851024627686E-2</c:v>
                </c:pt>
                <c:pt idx="15">
                  <c:v>-8.8203892111778259E-2</c:v>
                </c:pt>
                <c:pt idx="16">
                  <c:v>-3.6049026995897293E-2</c:v>
                </c:pt>
                <c:pt idx="17">
                  <c:v>-8.3056479692459106E-2</c:v>
                </c:pt>
                <c:pt idx="18">
                  <c:v>-2.2503262385725975E-2</c:v>
                </c:pt>
                <c:pt idx="19">
                  <c:v>-4.8978138715028763E-2</c:v>
                </c:pt>
                <c:pt idx="20">
                  <c:v>-1.3443269766867161E-2</c:v>
                </c:pt>
                <c:pt idx="21">
                  <c:v>-3.3745307475328445E-2</c:v>
                </c:pt>
                <c:pt idx="22">
                  <c:v>-4.1297663003206253E-2</c:v>
                </c:pt>
                <c:pt idx="23">
                  <c:v>-2.8328612446784973E-2</c:v>
                </c:pt>
                <c:pt idx="24">
                  <c:v>-0.10505161434412003</c:v>
                </c:pt>
                <c:pt idx="25">
                  <c:v>-3.0021015554666519E-2</c:v>
                </c:pt>
                <c:pt idx="26">
                  <c:v>-4.5257061719894409E-2</c:v>
                </c:pt>
                <c:pt idx="27">
                  <c:v>-6.2671743333339691E-2</c:v>
                </c:pt>
                <c:pt idx="28">
                  <c:v>-4.2275354266166687E-2</c:v>
                </c:pt>
                <c:pt idx="29">
                  <c:v>-3.8552358746528625E-2</c:v>
                </c:pt>
                <c:pt idx="30">
                  <c:v>-1.392822340130806E-2</c:v>
                </c:pt>
                <c:pt idx="31">
                  <c:v>-2.0002000033855438E-2</c:v>
                </c:pt>
                <c:pt idx="32">
                  <c:v>-9.6357680857181549E-2</c:v>
                </c:pt>
                <c:pt idx="33">
                  <c:v>-9.2157404869794846E-3</c:v>
                </c:pt>
                <c:pt idx="34">
                  <c:v>-4.8756701871752739E-3</c:v>
                </c:pt>
                <c:pt idx="35">
                  <c:v>-1.5223016962409019E-2</c:v>
                </c:pt>
                <c:pt idx="36">
                  <c:v>-0.12517525255680084</c:v>
                </c:pt>
                <c:pt idx="37">
                  <c:v>-0.19257794320583344</c:v>
                </c:pt>
                <c:pt idx="38">
                  <c:v>-0.13448894023895264</c:v>
                </c:pt>
                <c:pt idx="39">
                  <c:v>-9.6881620585918427E-2</c:v>
                </c:pt>
                <c:pt idx="40">
                  <c:v>-3.2552082091569901E-2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7D-48B1-8919-8BDA0C67E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224784"/>
        <c:axId val="845265184"/>
      </c:lineChart>
      <c:dateAx>
        <c:axId val="845227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55616"/>
        <c:auto val="1"/>
        <c:lblOffset val="100"/>
        <c:baseTimeUnit val="months"/>
      </c:dateAx>
      <c:valAx>
        <c:axId val="8452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27984"/>
        <c:crossBetween val="between"/>
      </c:valAx>
      <c:valAx>
        <c:axId val="845265184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24784"/>
        <c:crosses val="max"/>
        <c:crossBetween val="between"/>
      </c:valAx>
      <c:dateAx>
        <c:axId val="8452247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45265184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6</xdr:row>
      <xdr:rowOff>164306</xdr:rowOff>
    </xdr:from>
    <xdr:to>
      <xdr:col>12</xdr:col>
      <xdr:colOff>178593</xdr:colOff>
      <xdr:row>22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53A72-C651-4A45-8AC1-287D1DBAF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121443</xdr:colOff>
      <xdr:row>25</xdr:row>
      <xdr:rowOff>164306</xdr:rowOff>
    </xdr:from>
    <xdr:to>
      <xdr:col>12</xdr:col>
      <xdr:colOff>178593</xdr:colOff>
      <xdr:row>41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41FFA-EE3A-44A8-9B27-08ADD87FE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121443</xdr:colOff>
      <xdr:row>19</xdr:row>
      <xdr:rowOff>164306</xdr:rowOff>
    </xdr:from>
    <xdr:to>
      <xdr:col>12</xdr:col>
      <xdr:colOff>178593</xdr:colOff>
      <xdr:row>35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F73E66-44F1-4C6D-8C6A-29E29D295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5" workbookViewId="0">
      <selection activeCell="N24" sqref="N24"/>
    </sheetView>
  </sheetViews>
  <sheetFormatPr defaultRowHeight="14.25" x14ac:dyDescent="0.45"/>
  <cols>
    <col min="7" max="7" width="17.86328125" customWidth="1"/>
  </cols>
  <sheetData>
    <row r="1" spans="1:7" x14ac:dyDescent="0.45">
      <c r="A1" t="s">
        <v>1</v>
      </c>
      <c r="B1" t="s">
        <v>2</v>
      </c>
      <c r="C1" s="1" t="s">
        <v>0</v>
      </c>
      <c r="D1" t="s">
        <v>7</v>
      </c>
      <c r="E1" t="s">
        <v>9</v>
      </c>
    </row>
    <row r="2" spans="1:7" x14ac:dyDescent="0.45">
      <c r="A2" s="2">
        <v>43466</v>
      </c>
      <c r="B2" s="3">
        <v>0.18274542689323425</v>
      </c>
      <c r="C2">
        <v>-655.07634450159105</v>
      </c>
      <c r="D2">
        <f>STANDARDIZE(C2,$G$2,$G$3)</f>
        <v>-2.0830871071346744</v>
      </c>
      <c r="E2" s="3">
        <f>-B2</f>
        <v>-0.18274542689323425</v>
      </c>
      <c r="F2" t="s">
        <v>5</v>
      </c>
      <c r="G2">
        <f>AVERAGE(C2:C42)</f>
        <v>-301.61105009263207</v>
      </c>
    </row>
    <row r="3" spans="1:7" x14ac:dyDescent="0.45">
      <c r="A3" s="2">
        <v>43497</v>
      </c>
      <c r="B3" s="3">
        <v>0.20772354304790497</v>
      </c>
      <c r="C3">
        <v>-404.22864551941791</v>
      </c>
      <c r="D3">
        <f t="shared" ref="D3:D42" si="0">STANDARDIZE(C3,$G$2,$G$3)</f>
        <v>-0.60475920374626091</v>
      </c>
      <c r="E3" s="3">
        <f t="shared" ref="E3:E42" si="1">-B3</f>
        <v>-0.20772354304790497</v>
      </c>
      <c r="F3" t="s">
        <v>6</v>
      </c>
      <c r="G3">
        <f>STDEV(C2:C42)</f>
        <v>169.68339595512987</v>
      </c>
    </row>
    <row r="4" spans="1:7" x14ac:dyDescent="0.45">
      <c r="A4" s="2">
        <v>43525</v>
      </c>
      <c r="B4" s="3">
        <v>0.11262200772762299</v>
      </c>
      <c r="C4">
        <v>-396.86818189819888</v>
      </c>
      <c r="D4">
        <f t="shared" si="0"/>
        <v>-0.56138157342605333</v>
      </c>
      <c r="E4" s="3">
        <f t="shared" si="1"/>
        <v>-0.11262200772762299</v>
      </c>
      <c r="F4" t="s">
        <v>3</v>
      </c>
      <c r="G4">
        <f>CORREL(B2:B42,C2:C42)</f>
        <v>-0.21860744045881794</v>
      </c>
    </row>
    <row r="5" spans="1:7" x14ac:dyDescent="0.45">
      <c r="A5" s="2">
        <v>43556</v>
      </c>
      <c r="B5" s="3">
        <v>3.1336735934019089E-2</v>
      </c>
      <c r="C5">
        <v>-288.92187474962049</v>
      </c>
      <c r="D5">
        <f t="shared" si="0"/>
        <v>7.4781479187079919E-2</v>
      </c>
      <c r="E5" s="3">
        <f t="shared" si="1"/>
        <v>-3.1336735934019089E-2</v>
      </c>
    </row>
    <row r="6" spans="1:7" x14ac:dyDescent="0.45">
      <c r="A6" s="2">
        <v>43586</v>
      </c>
      <c r="B6" s="3">
        <v>0.11175104975700378</v>
      </c>
      <c r="C6">
        <v>-380.56413338329452</v>
      </c>
      <c r="D6">
        <f t="shared" si="0"/>
        <v>-0.46529645900969807</v>
      </c>
      <c r="E6" s="3">
        <f t="shared" si="1"/>
        <v>-0.11175104975700378</v>
      </c>
    </row>
    <row r="7" spans="1:7" x14ac:dyDescent="0.45">
      <c r="A7" s="2">
        <v>43617</v>
      </c>
      <c r="B7" s="3">
        <v>3.4515488892793655E-2</v>
      </c>
      <c r="C7">
        <v>-244.94524638917861</v>
      </c>
      <c r="D7">
        <f t="shared" si="0"/>
        <v>0.33395019815868049</v>
      </c>
      <c r="E7" s="3">
        <f t="shared" si="1"/>
        <v>-3.4515488892793655E-2</v>
      </c>
    </row>
    <row r="8" spans="1:7" x14ac:dyDescent="0.45">
      <c r="A8" s="2">
        <v>43647</v>
      </c>
      <c r="B8" s="3">
        <v>3.0970711261034012E-2</v>
      </c>
      <c r="C8">
        <v>-362.17199161468909</v>
      </c>
      <c r="D8">
        <f t="shared" si="0"/>
        <v>-0.35690552502892753</v>
      </c>
      <c r="E8" s="3">
        <f t="shared" si="1"/>
        <v>-3.0970711261034012E-2</v>
      </c>
    </row>
    <row r="9" spans="1:7" x14ac:dyDescent="0.45">
      <c r="A9" s="2">
        <v>43678</v>
      </c>
      <c r="B9" s="3">
        <v>0.13273161649703979</v>
      </c>
      <c r="C9">
        <v>-696.62574239741275</v>
      </c>
      <c r="D9">
        <f t="shared" si="0"/>
        <v>-2.327951359538067</v>
      </c>
      <c r="E9" s="3">
        <f t="shared" si="1"/>
        <v>-0.13273161649703979</v>
      </c>
    </row>
    <row r="10" spans="1:7" x14ac:dyDescent="0.45">
      <c r="A10" s="2">
        <v>43709</v>
      </c>
      <c r="B10" s="3">
        <v>3.5431154072284698E-2</v>
      </c>
      <c r="C10">
        <v>-311.85455909088961</v>
      </c>
      <c r="D10">
        <f t="shared" si="0"/>
        <v>-6.0368363920334761E-2</v>
      </c>
      <c r="E10" s="3">
        <f t="shared" si="1"/>
        <v>-3.5431154072284698E-2</v>
      </c>
    </row>
    <row r="11" spans="1:7" x14ac:dyDescent="0.45">
      <c r="A11" s="2">
        <v>43739</v>
      </c>
      <c r="B11" s="3">
        <v>0.13032875955104828</v>
      </c>
      <c r="C11">
        <v>-193.3523064233743</v>
      </c>
      <c r="D11">
        <f t="shared" si="0"/>
        <v>0.63800434367712155</v>
      </c>
      <c r="E11" s="3">
        <f t="shared" si="1"/>
        <v>-0.13032875955104828</v>
      </c>
    </row>
    <row r="12" spans="1:7" x14ac:dyDescent="0.45">
      <c r="A12" s="2">
        <v>43770</v>
      </c>
      <c r="B12" s="3">
        <v>8.8028170168399811E-2</v>
      </c>
      <c r="C12">
        <v>-289.12606188960223</v>
      </c>
      <c r="D12">
        <f t="shared" si="0"/>
        <v>7.3578137287700823E-2</v>
      </c>
      <c r="E12" s="3">
        <f t="shared" si="1"/>
        <v>-8.8028170168399811E-2</v>
      </c>
    </row>
    <row r="13" spans="1:7" x14ac:dyDescent="0.45">
      <c r="A13" s="2">
        <v>43800</v>
      </c>
      <c r="B13" s="3">
        <v>9.7077950835227966E-2</v>
      </c>
      <c r="C13">
        <v>-218.52996171570251</v>
      </c>
      <c r="D13">
        <f t="shared" si="0"/>
        <v>0.48962414919429748</v>
      </c>
      <c r="E13" s="3">
        <f t="shared" si="1"/>
        <v>-9.7077950835227966E-2</v>
      </c>
    </row>
    <row r="14" spans="1:7" x14ac:dyDescent="0.45">
      <c r="A14" s="2">
        <v>43831</v>
      </c>
      <c r="B14" s="3">
        <v>5.2945069968700409E-2</v>
      </c>
      <c r="C14">
        <v>-242.5086855484326</v>
      </c>
      <c r="D14">
        <f t="shared" si="0"/>
        <v>0.34830965169879186</v>
      </c>
      <c r="E14" s="3">
        <f t="shared" si="1"/>
        <v>-5.2945069968700409E-2</v>
      </c>
    </row>
    <row r="15" spans="1:7" x14ac:dyDescent="0.45">
      <c r="A15" s="2">
        <v>43862</v>
      </c>
      <c r="B15" s="3">
        <v>3.1208204105496407E-2</v>
      </c>
      <c r="C15">
        <v>-208.48707619986089</v>
      </c>
      <c r="D15">
        <f t="shared" si="0"/>
        <v>0.5488101730200895</v>
      </c>
      <c r="E15" s="3">
        <f t="shared" si="1"/>
        <v>-3.1208204105496407E-2</v>
      </c>
    </row>
    <row r="16" spans="1:7" x14ac:dyDescent="0.45">
      <c r="A16" s="2">
        <v>43891</v>
      </c>
      <c r="B16" s="3">
        <v>7.2686851024627686E-2</v>
      </c>
      <c r="C16">
        <v>-396.79433586187469</v>
      </c>
      <c r="D16">
        <f t="shared" si="0"/>
        <v>-0.56094637447268181</v>
      </c>
      <c r="E16" s="3">
        <f t="shared" si="1"/>
        <v>-7.2686851024627686E-2</v>
      </c>
    </row>
    <row r="17" spans="1:5" x14ac:dyDescent="0.45">
      <c r="A17" s="2">
        <v>43922</v>
      </c>
      <c r="B17" s="3">
        <v>8.8203892111778259E-2</v>
      </c>
      <c r="C17">
        <v>-414.80523920242229</v>
      </c>
      <c r="D17">
        <f t="shared" si="0"/>
        <v>-0.66709054514516353</v>
      </c>
      <c r="E17" s="3">
        <f t="shared" si="1"/>
        <v>-8.8203892111778259E-2</v>
      </c>
    </row>
    <row r="18" spans="1:5" x14ac:dyDescent="0.45">
      <c r="A18" s="2">
        <v>43952</v>
      </c>
      <c r="B18" s="3">
        <v>3.6049026995897293E-2</v>
      </c>
      <c r="C18">
        <v>-706.58085786932509</v>
      </c>
      <c r="D18">
        <f t="shared" si="0"/>
        <v>-2.3866201256590891</v>
      </c>
      <c r="E18" s="3">
        <f t="shared" si="1"/>
        <v>-3.6049026995897293E-2</v>
      </c>
    </row>
    <row r="19" spans="1:5" x14ac:dyDescent="0.45">
      <c r="A19" s="2">
        <v>43983</v>
      </c>
      <c r="B19" s="3">
        <v>8.3056479692459106E-2</v>
      </c>
      <c r="C19">
        <v>-690.07351219403654</v>
      </c>
      <c r="D19">
        <f t="shared" si="0"/>
        <v>-2.2893369142855162</v>
      </c>
      <c r="E19" s="3">
        <f t="shared" si="1"/>
        <v>-8.3056479692459106E-2</v>
      </c>
    </row>
    <row r="20" spans="1:5" x14ac:dyDescent="0.45">
      <c r="A20" s="2">
        <v>44013</v>
      </c>
      <c r="B20" s="3">
        <v>2.2503262385725975E-2</v>
      </c>
      <c r="C20">
        <v>-563.10497885185828</v>
      </c>
      <c r="D20">
        <f t="shared" si="0"/>
        <v>-1.5410696331677274</v>
      </c>
      <c r="E20" s="3">
        <f t="shared" si="1"/>
        <v>-2.2503262385725975E-2</v>
      </c>
    </row>
    <row r="21" spans="1:5" x14ac:dyDescent="0.45">
      <c r="A21" s="2">
        <v>44044</v>
      </c>
      <c r="B21" s="3">
        <v>4.8978138715028763E-2</v>
      </c>
      <c r="C21">
        <v>-410.59069593258067</v>
      </c>
      <c r="D21">
        <f t="shared" si="0"/>
        <v>-0.64225285701357937</v>
      </c>
      <c r="E21" s="3">
        <f t="shared" si="1"/>
        <v>-4.8978138715028763E-2</v>
      </c>
    </row>
    <row r="22" spans="1:5" x14ac:dyDescent="0.45">
      <c r="A22" s="2">
        <v>44075</v>
      </c>
      <c r="B22" s="3">
        <v>1.3443269766867161E-2</v>
      </c>
      <c r="C22">
        <v>-303.4878330627497</v>
      </c>
      <c r="D22">
        <f t="shared" si="0"/>
        <v>-1.1060498639559978E-2</v>
      </c>
      <c r="E22" s="3">
        <f t="shared" si="1"/>
        <v>-1.3443269766867161E-2</v>
      </c>
    </row>
    <row r="23" spans="1:5" x14ac:dyDescent="0.45">
      <c r="A23" s="2">
        <v>44105</v>
      </c>
      <c r="B23" s="3">
        <v>3.3745307475328445E-2</v>
      </c>
      <c r="C23">
        <v>-119.69220559390649</v>
      </c>
      <c r="D23">
        <f t="shared" si="0"/>
        <v>1.0721075180911113</v>
      </c>
      <c r="E23" s="3">
        <f t="shared" si="1"/>
        <v>-3.3745307475328445E-2</v>
      </c>
    </row>
    <row r="24" spans="1:5" x14ac:dyDescent="0.45">
      <c r="A24" s="2">
        <v>44136</v>
      </c>
      <c r="B24" s="3">
        <v>4.1297663003206253E-2</v>
      </c>
      <c r="C24">
        <v>-163.31873431345679</v>
      </c>
      <c r="D24">
        <f t="shared" si="0"/>
        <v>0.81500205132471848</v>
      </c>
      <c r="E24" s="3">
        <f t="shared" si="1"/>
        <v>-4.1297663003206253E-2</v>
      </c>
    </row>
    <row r="25" spans="1:5" x14ac:dyDescent="0.45">
      <c r="A25" s="2">
        <v>44166</v>
      </c>
      <c r="B25" s="3">
        <v>2.8328612446784973E-2</v>
      </c>
      <c r="C25">
        <v>-201.16150065809509</v>
      </c>
      <c r="D25">
        <f t="shared" si="0"/>
        <v>0.59198219642597971</v>
      </c>
      <c r="E25" s="3">
        <f t="shared" si="1"/>
        <v>-2.8328612446784973E-2</v>
      </c>
    </row>
    <row r="26" spans="1:5" x14ac:dyDescent="0.45">
      <c r="A26" s="2">
        <v>44197</v>
      </c>
      <c r="B26" s="3">
        <v>0.10505161434412003</v>
      </c>
      <c r="C26">
        <v>-318.76919490045782</v>
      </c>
      <c r="D26">
        <f t="shared" si="0"/>
        <v>-0.1011185844745997</v>
      </c>
      <c r="E26" s="3">
        <f t="shared" si="1"/>
        <v>-0.10505161434412003</v>
      </c>
    </row>
    <row r="27" spans="1:5" x14ac:dyDescent="0.45">
      <c r="A27" s="2">
        <v>44228</v>
      </c>
      <c r="B27" s="3">
        <v>3.0021015554666519E-2</v>
      </c>
      <c r="C27">
        <v>-216.93554419017909</v>
      </c>
      <c r="D27">
        <f t="shared" si="0"/>
        <v>0.4990205755007644</v>
      </c>
      <c r="E27" s="3">
        <f t="shared" si="1"/>
        <v>-3.0021015554666519E-2</v>
      </c>
    </row>
    <row r="28" spans="1:5" x14ac:dyDescent="0.45">
      <c r="A28" s="2">
        <v>44256</v>
      </c>
      <c r="B28" s="3">
        <v>4.5257061719894409E-2</v>
      </c>
      <c r="C28">
        <v>-448.37530521203081</v>
      </c>
      <c r="D28">
        <f t="shared" si="0"/>
        <v>-0.8649299732202923</v>
      </c>
      <c r="E28" s="3">
        <f t="shared" si="1"/>
        <v>-4.5257061719894409E-2</v>
      </c>
    </row>
    <row r="29" spans="1:5" x14ac:dyDescent="0.45">
      <c r="A29" s="2">
        <v>44287</v>
      </c>
      <c r="B29" s="3">
        <v>6.2671743333339691E-2</v>
      </c>
      <c r="C29">
        <v>-387.67552539040253</v>
      </c>
      <c r="D29">
        <f t="shared" si="0"/>
        <v>-0.50720622847817631</v>
      </c>
      <c r="E29" s="3">
        <f t="shared" si="1"/>
        <v>-6.2671743333339691E-2</v>
      </c>
    </row>
    <row r="30" spans="1:5" x14ac:dyDescent="0.45">
      <c r="A30" s="2">
        <v>44317</v>
      </c>
      <c r="B30" s="3">
        <v>4.2275354266166687E-2</v>
      </c>
      <c r="C30">
        <v>-280.5121414373366</v>
      </c>
      <c r="D30">
        <f t="shared" si="0"/>
        <v>0.12434280052289119</v>
      </c>
      <c r="E30" s="3">
        <f t="shared" si="1"/>
        <v>-4.2275354266166687E-2</v>
      </c>
    </row>
    <row r="31" spans="1:5" x14ac:dyDescent="0.45">
      <c r="A31" s="2">
        <v>44348</v>
      </c>
      <c r="B31" s="3">
        <v>3.8552358746528625E-2</v>
      </c>
      <c r="C31">
        <v>-223.36564306768179</v>
      </c>
      <c r="D31">
        <f t="shared" si="0"/>
        <v>0.46112589027650686</v>
      </c>
      <c r="E31" s="3">
        <f t="shared" si="1"/>
        <v>-3.8552358746528625E-2</v>
      </c>
    </row>
    <row r="32" spans="1:5" x14ac:dyDescent="0.45">
      <c r="A32" s="2">
        <v>44378</v>
      </c>
      <c r="B32" s="3">
        <v>1.392822340130806E-2</v>
      </c>
      <c r="C32">
        <v>-205.94115796132621</v>
      </c>
      <c r="D32">
        <f t="shared" si="0"/>
        <v>0.56381410563355461</v>
      </c>
      <c r="E32" s="3">
        <f t="shared" si="1"/>
        <v>-1.392822340130806E-2</v>
      </c>
    </row>
    <row r="33" spans="1:5" x14ac:dyDescent="0.45">
      <c r="A33" s="2">
        <v>44409</v>
      </c>
      <c r="B33" s="3">
        <v>2.0002000033855438E-2</v>
      </c>
      <c r="C33">
        <v>-139.5457327709702</v>
      </c>
      <c r="D33">
        <f t="shared" si="0"/>
        <v>0.9551041597759955</v>
      </c>
      <c r="E33" s="3">
        <f t="shared" si="1"/>
        <v>-2.0002000033855438E-2</v>
      </c>
    </row>
    <row r="34" spans="1:5" x14ac:dyDescent="0.45">
      <c r="A34" s="2">
        <v>44440</v>
      </c>
      <c r="B34" s="3">
        <v>9.6357680857181549E-2</v>
      </c>
      <c r="C34">
        <v>-184.6032515075303</v>
      </c>
      <c r="D34">
        <f t="shared" si="0"/>
        <v>0.68956539870313927</v>
      </c>
      <c r="E34" s="3">
        <f t="shared" si="1"/>
        <v>-9.6357680857181549E-2</v>
      </c>
    </row>
    <row r="35" spans="1:5" x14ac:dyDescent="0.45">
      <c r="A35" s="2">
        <v>44470</v>
      </c>
      <c r="B35" s="3">
        <v>9.2157404869794846E-3</v>
      </c>
      <c r="C35">
        <v>-251.36153845824421</v>
      </c>
      <c r="D35">
        <f t="shared" si="0"/>
        <v>0.2961368809926197</v>
      </c>
      <c r="E35" s="3">
        <f t="shared" si="1"/>
        <v>-9.2157404869794846E-3</v>
      </c>
    </row>
    <row r="36" spans="1:5" x14ac:dyDescent="0.45">
      <c r="A36" s="2">
        <v>44501</v>
      </c>
      <c r="B36" s="3">
        <v>4.8756701871752739E-3</v>
      </c>
      <c r="C36">
        <v>-121.3186319035797</v>
      </c>
      <c r="D36">
        <f t="shared" si="0"/>
        <v>1.0625224535035114</v>
      </c>
      <c r="E36" s="3">
        <f t="shared" si="1"/>
        <v>-4.8756701871752739E-3</v>
      </c>
    </row>
    <row r="37" spans="1:5" x14ac:dyDescent="0.45">
      <c r="A37" s="2">
        <v>44531</v>
      </c>
      <c r="B37" s="3">
        <v>1.5223016962409019E-2</v>
      </c>
      <c r="C37">
        <v>-102.93067648513571</v>
      </c>
      <c r="D37">
        <f t="shared" si="0"/>
        <v>1.1708887159474006</v>
      </c>
      <c r="E37" s="3">
        <f t="shared" si="1"/>
        <v>-1.5223016962409019E-2</v>
      </c>
    </row>
    <row r="38" spans="1:5" x14ac:dyDescent="0.45">
      <c r="A38" s="2">
        <v>44562</v>
      </c>
      <c r="B38" s="3">
        <v>0.12517525255680084</v>
      </c>
      <c r="C38">
        <v>-122.1858964282014</v>
      </c>
      <c r="D38">
        <f t="shared" si="0"/>
        <v>1.0574113787295774</v>
      </c>
      <c r="E38" s="3">
        <f t="shared" si="1"/>
        <v>-0.12517525255680084</v>
      </c>
    </row>
    <row r="39" spans="1:5" x14ac:dyDescent="0.45">
      <c r="A39" s="2">
        <v>44593</v>
      </c>
      <c r="B39" s="3">
        <v>0.19257794320583344</v>
      </c>
      <c r="C39">
        <v>-176.00307881447031</v>
      </c>
      <c r="D39">
        <f t="shared" si="0"/>
        <v>0.74024904187665375</v>
      </c>
      <c r="E39" s="3">
        <f t="shared" si="1"/>
        <v>-0.19257794320583344</v>
      </c>
    </row>
    <row r="40" spans="1:5" x14ac:dyDescent="0.45">
      <c r="A40" s="2">
        <v>44621</v>
      </c>
      <c r="B40" s="3">
        <v>0.13448894023895264</v>
      </c>
      <c r="C40">
        <v>-110.51728926588569</v>
      </c>
      <c r="D40">
        <f t="shared" si="0"/>
        <v>1.1261783143312274</v>
      </c>
      <c r="E40" s="3">
        <f t="shared" si="1"/>
        <v>-0.13448894023895264</v>
      </c>
    </row>
    <row r="41" spans="1:5" x14ac:dyDescent="0.45">
      <c r="A41" s="2">
        <v>44652</v>
      </c>
      <c r="B41" s="3">
        <v>9.6881620585918427E-2</v>
      </c>
      <c r="C41">
        <v>-94.478714315577975</v>
      </c>
      <c r="D41">
        <f t="shared" si="0"/>
        <v>1.2206989058129589</v>
      </c>
      <c r="E41" s="3">
        <f t="shared" si="1"/>
        <v>-9.6881620585918427E-2</v>
      </c>
    </row>
    <row r="42" spans="1:5" x14ac:dyDescent="0.45">
      <c r="A42" s="2">
        <v>44682</v>
      </c>
      <c r="B42" s="3">
        <v>3.2552082091569901E-2</v>
      </c>
      <c r="C42">
        <v>-118.66302682733451</v>
      </c>
      <c r="D42">
        <f t="shared" si="0"/>
        <v>1.0781728066880234</v>
      </c>
      <c r="E42" s="3">
        <f t="shared" si="1"/>
        <v>-3.2552082091569901E-2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0654-90BD-48E3-A5FD-04E810D191ED}">
  <dimension ref="A1:B3"/>
  <sheetViews>
    <sheetView workbookViewId="0">
      <selection activeCell="B1" sqref="B1:B3"/>
    </sheetView>
  </sheetViews>
  <sheetFormatPr defaultRowHeight="14.25" x14ac:dyDescent="0.45"/>
  <sheetData>
    <row r="1" spans="1:2" x14ac:dyDescent="0.45">
      <c r="B1" t="s">
        <v>8</v>
      </c>
    </row>
    <row r="2" spans="1:2" x14ac:dyDescent="0.45">
      <c r="A2" t="s">
        <v>3</v>
      </c>
      <c r="B2">
        <v>-0.21860744045881794</v>
      </c>
    </row>
    <row r="3" spans="1:2" x14ac:dyDescent="0.45">
      <c r="A3" t="s">
        <v>4</v>
      </c>
      <c r="B3">
        <v>0.16970299999999999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2022-06-24T15:34:48Z</dcterms:created>
  <dcterms:modified xsi:type="dcterms:W3CDTF">2022-06-27T15:06:59Z</dcterms:modified>
</cp:coreProperties>
</file>