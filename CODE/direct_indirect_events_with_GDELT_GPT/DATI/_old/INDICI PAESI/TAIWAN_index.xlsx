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7"/>
  <workbookPr/>
  <mc:AlternateContent xmlns:mc="http://schemas.openxmlformats.org/markup-compatibility/2006">
    <mc:Choice Requires="x15">
      <x15ac:absPath xmlns:x15ac="http://schemas.microsoft.com/office/spreadsheetml/2010/11/ac" url="\\COR-FS-BO-01\Amif\CLIMATE RISK &amp; ESG\PROGETTI\NLP\GDELT\"/>
    </mc:Choice>
  </mc:AlternateContent>
  <xr:revisionPtr revIDLastSave="0" documentId="13_ncr:1_{06EB6194-04AC-412A-851D-3AC556C7223F}" xr6:coauthVersionLast="36" xr6:coauthVersionMax="36" xr10:uidLastSave="{00000000-0000-0000-0000-000000000000}"/>
  <bookViews>
    <workbookView xWindow="0" yWindow="0" windowWidth="20520" windowHeight="8865" xr2:uid="{00000000-000D-0000-FFFF-FFFF00000000}"/>
  </bookViews>
  <sheets>
    <sheet name="Sheet1" sheetId="1" r:id="rId1"/>
    <sheet name="Sheet2" sheetId="2" r:id="rId2"/>
  </sheets>
  <calcPr calcId="19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2" i="1"/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2" i="1"/>
  <c r="G4" i="1"/>
  <c r="G3" i="1"/>
  <c r="G2" i="1"/>
</calcChain>
</file>

<file path=xl/sharedStrings.xml><?xml version="1.0" encoding="utf-8"?>
<sst xmlns="http://schemas.openxmlformats.org/spreadsheetml/2006/main" count="11" uniqueCount="10">
  <si>
    <t>CWT_ID</t>
  </si>
  <si>
    <t>month</t>
  </si>
  <si>
    <t>GPRC_TWN</t>
  </si>
  <si>
    <t>MEDIA</t>
  </si>
  <si>
    <t>ST DEV</t>
  </si>
  <si>
    <t>CORR</t>
  </si>
  <si>
    <t>TAIWAN</t>
  </si>
  <si>
    <t>p-value</t>
  </si>
  <si>
    <t>CWT_stand</t>
  </si>
  <si>
    <t xml:space="preserve"> -GPRC_TWN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</si>
</sst>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4" fontId="0" fillId="0" borderId="0" xfId="0" applyNumberFormat="1"/>
    <xf numFmtId="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TAIWAN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GPRC_TWN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2.9749255627393723E-2</c:v>
                </c:pt>
                <c:pt idx="1">
                  <c:v>9.4419792294502258E-3</c:v>
                </c:pt>
                <c:pt idx="2">
                  <c:v>4.5883040875196457E-2</c:v>
                </c:pt>
                <c:pt idx="3">
                  <c:v>4.4766765087842941E-2</c:v>
                </c:pt>
                <c:pt idx="4">
                  <c:v>5.5875524878501892E-2</c:v>
                </c:pt>
                <c:pt idx="5">
                  <c:v>8.6288720369338989E-2</c:v>
                </c:pt>
                <c:pt idx="6">
                  <c:v>5.7517033070325851E-2</c:v>
                </c:pt>
                <c:pt idx="7">
                  <c:v>8.406335860490799E-2</c:v>
                </c:pt>
                <c:pt idx="8">
                  <c:v>3.9860047399997711E-2</c:v>
                </c:pt>
                <c:pt idx="9">
                  <c:v>4.2041536420583725E-2</c:v>
                </c:pt>
                <c:pt idx="10">
                  <c:v>4.8415493220090866E-2</c:v>
                </c:pt>
                <c:pt idx="11">
                  <c:v>1.9415590912103653E-2</c:v>
                </c:pt>
                <c:pt idx="12">
                  <c:v>8.3829693496227264E-2</c:v>
                </c:pt>
                <c:pt idx="13">
                  <c:v>6.2416408210992813E-2</c:v>
                </c:pt>
                <c:pt idx="14">
                  <c:v>2.9929878190159798E-2</c:v>
                </c:pt>
                <c:pt idx="15">
                  <c:v>5.5707719177007675E-2</c:v>
                </c:pt>
                <c:pt idx="16">
                  <c:v>0.10814707726240158</c:v>
                </c:pt>
                <c:pt idx="17">
                  <c:v>0.12458471953868866</c:v>
                </c:pt>
                <c:pt idx="18">
                  <c:v>0.17552545666694641</c:v>
                </c:pt>
                <c:pt idx="19">
                  <c:v>7.5693488121032715E-2</c:v>
                </c:pt>
                <c:pt idx="20">
                  <c:v>0.1658003181219101</c:v>
                </c:pt>
                <c:pt idx="21">
                  <c:v>0.10545408725738525</c:v>
                </c:pt>
                <c:pt idx="22">
                  <c:v>7.3418073356151581E-2</c:v>
                </c:pt>
                <c:pt idx="23">
                  <c:v>6.1378657817840576E-2</c:v>
                </c:pt>
                <c:pt idx="24">
                  <c:v>0.25577783584594727</c:v>
                </c:pt>
                <c:pt idx="25">
                  <c:v>7.004903256893158E-2</c:v>
                </c:pt>
                <c:pt idx="26">
                  <c:v>0.14029689133167267</c:v>
                </c:pt>
                <c:pt idx="27">
                  <c:v>0.20247794687747955</c:v>
                </c:pt>
                <c:pt idx="28">
                  <c:v>0.11743153631687164</c:v>
                </c:pt>
                <c:pt idx="29">
                  <c:v>0.1542094349861145</c:v>
                </c:pt>
                <c:pt idx="30">
                  <c:v>0.12071126699447632</c:v>
                </c:pt>
                <c:pt idx="31">
                  <c:v>0.12001200020313263</c:v>
                </c:pt>
                <c:pt idx="32">
                  <c:v>0.20235112309455872</c:v>
                </c:pt>
                <c:pt idx="33">
                  <c:v>0.3179430365562439</c:v>
                </c:pt>
                <c:pt idx="34">
                  <c:v>0.23890784382820129</c:v>
                </c:pt>
                <c:pt idx="35">
                  <c:v>0.33998072147369385</c:v>
                </c:pt>
                <c:pt idx="36">
                  <c:v>0.22030843794345856</c:v>
                </c:pt>
                <c:pt idx="37">
                  <c:v>0.26024046540260315</c:v>
                </c:pt>
                <c:pt idx="38">
                  <c:v>0.37856146693229675</c:v>
                </c:pt>
                <c:pt idx="39">
                  <c:v>0.12715713679790497</c:v>
                </c:pt>
                <c:pt idx="40">
                  <c:v>0.3190104067325592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90F-473C-86C9-37507EB46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711775"/>
        <c:axId val="728589727"/>
      </c:lineChart>
      <c:lineChart>
        <c:grouping val="standard"/>
        <c:varyColors val="0"/>
        <c:ser>
          <c:idx val="1"/>
          <c:order val="1"/>
          <c:tx>
            <c:strRef>
              <c:f>Sheet1!$C$1</c:f>
              <c:strCache>
                <c:ptCount val="1"/>
                <c:pt idx="0">
                  <c:v>CWT_ID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Sheet1!$C$2:$C$42</c:f>
              <c:numCache>
                <c:formatCode>General</c:formatCode>
                <c:ptCount val="41"/>
                <c:pt idx="0">
                  <c:v>-56.673358659338682</c:v>
                </c:pt>
                <c:pt idx="1">
                  <c:v>-37.931447012143579</c:v>
                </c:pt>
                <c:pt idx="2">
                  <c:v>-18.84889604499206</c:v>
                </c:pt>
                <c:pt idx="3">
                  <c:v>-43.879633411092193</c:v>
                </c:pt>
                <c:pt idx="4">
                  <c:v>-10.676944075565251</c:v>
                </c:pt>
                <c:pt idx="5">
                  <c:v>-155.34540738452341</c:v>
                </c:pt>
                <c:pt idx="6">
                  <c:v>-76.986016783393069</c:v>
                </c:pt>
                <c:pt idx="7">
                  <c:v>-93.354391415711632</c:v>
                </c:pt>
                <c:pt idx="8">
                  <c:v>-39.85961601323325</c:v>
                </c:pt>
                <c:pt idx="9">
                  <c:v>-139.90680942930589</c:v>
                </c:pt>
                <c:pt idx="10">
                  <c:v>-26.903127251063651</c:v>
                </c:pt>
                <c:pt idx="11">
                  <c:v>-61.989998736896027</c:v>
                </c:pt>
                <c:pt idx="12">
                  <c:v>-114.8682505923139</c:v>
                </c:pt>
                <c:pt idx="13">
                  <c:v>-203.79241911881141</c:v>
                </c:pt>
                <c:pt idx="14">
                  <c:v>-164.6777778151048</c:v>
                </c:pt>
                <c:pt idx="15">
                  <c:v>-189.93994660887299</c:v>
                </c:pt>
                <c:pt idx="16">
                  <c:v>-134.64608120453261</c:v>
                </c:pt>
                <c:pt idx="17">
                  <c:v>-93.096677483252321</c:v>
                </c:pt>
                <c:pt idx="18">
                  <c:v>-121.5965469703074</c:v>
                </c:pt>
                <c:pt idx="19">
                  <c:v>-115.8867336845052</c:v>
                </c:pt>
                <c:pt idx="20">
                  <c:v>-111.72123719040989</c:v>
                </c:pt>
                <c:pt idx="21">
                  <c:v>-66.343969487042756</c:v>
                </c:pt>
                <c:pt idx="22">
                  <c:v>-35.173859362677057</c:v>
                </c:pt>
                <c:pt idx="23">
                  <c:v>-83.615350427128803</c:v>
                </c:pt>
                <c:pt idx="24">
                  <c:v>-110.2276029644551</c:v>
                </c:pt>
                <c:pt idx="25">
                  <c:v>-80.828941275551955</c:v>
                </c:pt>
                <c:pt idx="26">
                  <c:v>-96.269907898201325</c:v>
                </c:pt>
                <c:pt idx="27">
                  <c:v>-252.6268885988265</c:v>
                </c:pt>
                <c:pt idx="28">
                  <c:v>-169.35477692682679</c:v>
                </c:pt>
                <c:pt idx="29">
                  <c:v>-139.0673548831418</c:v>
                </c:pt>
                <c:pt idx="30">
                  <c:v>-128.00911030273721</c:v>
                </c:pt>
                <c:pt idx="31">
                  <c:v>-75.316559287618688</c:v>
                </c:pt>
                <c:pt idx="32">
                  <c:v>-75.410972455927407</c:v>
                </c:pt>
                <c:pt idx="33">
                  <c:v>-150.21262449179719</c:v>
                </c:pt>
                <c:pt idx="34">
                  <c:v>-145.46290675638571</c:v>
                </c:pt>
                <c:pt idx="35">
                  <c:v>-94.358922456713728</c:v>
                </c:pt>
                <c:pt idx="36">
                  <c:v>-72.969212885048279</c:v>
                </c:pt>
                <c:pt idx="37">
                  <c:v>-88.684282844932</c:v>
                </c:pt>
                <c:pt idx="38">
                  <c:v>-156.58706869966031</c:v>
                </c:pt>
                <c:pt idx="39">
                  <c:v>-104.0048891749846</c:v>
                </c:pt>
                <c:pt idx="40">
                  <c:v>-199.09578104317561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90F-473C-86C9-37507EB46B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75714975"/>
        <c:axId val="728582239"/>
      </c:lineChart>
      <c:dateAx>
        <c:axId val="675711775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8589727"/>
        <c:crosses val="autoZero"/>
        <c:auto val="1"/>
        <c:lblOffset val="100"/>
        <c:baseTimeUnit val="months"/>
      </c:dateAx>
      <c:valAx>
        <c:axId val="72858972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711775"/>
        <c:crosses val="autoZero"/>
        <c:crossBetween val="between"/>
      </c:valAx>
      <c:valAx>
        <c:axId val="728582239"/>
        <c:scaling>
          <c:orientation val="minMax"/>
        </c:scaling>
        <c:delete val="0"/>
        <c:axPos val="r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75714975"/>
        <c:crosses val="max"/>
        <c:crossBetween val="between"/>
      </c:valAx>
      <c:dateAx>
        <c:axId val="675714975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728582239"/>
        <c:crosses val="autoZero"/>
        <c:auto val="1"/>
        <c:lblOffset val="100"/>
        <c:baseTimeUnit val="month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TAIWAN</a:t>
            </a:r>
            <a:r>
              <a:rPr lang="en-US" baseline="0"/>
              <a:t>       CORR= -0,3823 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GPRC_TWN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Sheet1!$B$2:$B$42</c:f>
              <c:numCache>
                <c:formatCode>#,##0.00</c:formatCode>
                <c:ptCount val="41"/>
                <c:pt idx="0">
                  <c:v>2.9749255627393723E-2</c:v>
                </c:pt>
                <c:pt idx="1">
                  <c:v>9.4419792294502258E-3</c:v>
                </c:pt>
                <c:pt idx="2">
                  <c:v>4.5883040875196457E-2</c:v>
                </c:pt>
                <c:pt idx="3">
                  <c:v>4.4766765087842941E-2</c:v>
                </c:pt>
                <c:pt idx="4">
                  <c:v>5.5875524878501892E-2</c:v>
                </c:pt>
                <c:pt idx="5">
                  <c:v>8.6288720369338989E-2</c:v>
                </c:pt>
                <c:pt idx="6">
                  <c:v>5.7517033070325851E-2</c:v>
                </c:pt>
                <c:pt idx="7">
                  <c:v>8.406335860490799E-2</c:v>
                </c:pt>
                <c:pt idx="8">
                  <c:v>3.9860047399997711E-2</c:v>
                </c:pt>
                <c:pt idx="9">
                  <c:v>4.2041536420583725E-2</c:v>
                </c:pt>
                <c:pt idx="10">
                  <c:v>4.8415493220090866E-2</c:v>
                </c:pt>
                <c:pt idx="11">
                  <c:v>1.9415590912103653E-2</c:v>
                </c:pt>
                <c:pt idx="12">
                  <c:v>8.3829693496227264E-2</c:v>
                </c:pt>
                <c:pt idx="13">
                  <c:v>6.2416408210992813E-2</c:v>
                </c:pt>
                <c:pt idx="14">
                  <c:v>2.9929878190159798E-2</c:v>
                </c:pt>
                <c:pt idx="15">
                  <c:v>5.5707719177007675E-2</c:v>
                </c:pt>
                <c:pt idx="16">
                  <c:v>0.10814707726240158</c:v>
                </c:pt>
                <c:pt idx="17">
                  <c:v>0.12458471953868866</c:v>
                </c:pt>
                <c:pt idx="18">
                  <c:v>0.17552545666694641</c:v>
                </c:pt>
                <c:pt idx="19">
                  <c:v>7.5693488121032715E-2</c:v>
                </c:pt>
                <c:pt idx="20">
                  <c:v>0.1658003181219101</c:v>
                </c:pt>
                <c:pt idx="21">
                  <c:v>0.10545408725738525</c:v>
                </c:pt>
                <c:pt idx="22">
                  <c:v>7.3418073356151581E-2</c:v>
                </c:pt>
                <c:pt idx="23">
                  <c:v>6.1378657817840576E-2</c:v>
                </c:pt>
                <c:pt idx="24">
                  <c:v>0.25577783584594727</c:v>
                </c:pt>
                <c:pt idx="25">
                  <c:v>7.004903256893158E-2</c:v>
                </c:pt>
                <c:pt idx="26">
                  <c:v>0.14029689133167267</c:v>
                </c:pt>
                <c:pt idx="27">
                  <c:v>0.20247794687747955</c:v>
                </c:pt>
                <c:pt idx="28">
                  <c:v>0.11743153631687164</c:v>
                </c:pt>
                <c:pt idx="29">
                  <c:v>0.1542094349861145</c:v>
                </c:pt>
                <c:pt idx="30">
                  <c:v>0.12071126699447632</c:v>
                </c:pt>
                <c:pt idx="31">
                  <c:v>0.12001200020313263</c:v>
                </c:pt>
                <c:pt idx="32">
                  <c:v>0.20235112309455872</c:v>
                </c:pt>
                <c:pt idx="33">
                  <c:v>0.3179430365562439</c:v>
                </c:pt>
                <c:pt idx="34">
                  <c:v>0.23890784382820129</c:v>
                </c:pt>
                <c:pt idx="35">
                  <c:v>0.33998072147369385</c:v>
                </c:pt>
                <c:pt idx="36">
                  <c:v>0.22030843794345856</c:v>
                </c:pt>
                <c:pt idx="37">
                  <c:v>0.26024046540260315</c:v>
                </c:pt>
                <c:pt idx="38">
                  <c:v>0.37856146693229675</c:v>
                </c:pt>
                <c:pt idx="39">
                  <c:v>0.12715713679790497</c:v>
                </c:pt>
                <c:pt idx="40">
                  <c:v>0.3190104067325592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BB-43DF-AC3C-E286AF95AF22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0.89875103732476258</c:v>
                </c:pt>
                <c:pt idx="1">
                  <c:v>1.2418985425113673</c:v>
                </c:pt>
                <c:pt idx="2">
                  <c:v>1.5912828465374862</c:v>
                </c:pt>
                <c:pt idx="3">
                  <c:v>1.1329926122302596</c:v>
                </c:pt>
                <c:pt idx="4">
                  <c:v>1.7409039195422371</c:v>
                </c:pt>
                <c:pt idx="5">
                  <c:v>-0.90784521545212771</c:v>
                </c:pt>
                <c:pt idx="6">
                  <c:v>0.52684458027875269</c:v>
                </c:pt>
                <c:pt idx="7">
                  <c:v>0.22715439793385717</c:v>
                </c:pt>
                <c:pt idx="8">
                  <c:v>1.2065955064733604</c:v>
                </c:pt>
                <c:pt idx="9">
                  <c:v>-0.62517840580975292</c:v>
                </c:pt>
                <c:pt idx="10">
                  <c:v>1.4438171345767112</c:v>
                </c:pt>
                <c:pt idx="11">
                  <c:v>0.8014081508075297</c:v>
                </c:pt>
                <c:pt idx="12">
                  <c:v>-0.16674496742206985</c:v>
                </c:pt>
                <c:pt idx="13">
                  <c:v>-1.7948663221200321</c:v>
                </c:pt>
                <c:pt idx="14">
                  <c:v>-1.0787125042865893</c:v>
                </c:pt>
                <c:pt idx="15">
                  <c:v>-1.5412400393836716</c:v>
                </c:pt>
                <c:pt idx="16">
                  <c:v>-0.52885921490876098</c:v>
                </c:pt>
                <c:pt idx="17">
                  <c:v>0.23187290769102362</c:v>
                </c:pt>
                <c:pt idx="18">
                  <c:v>-0.289934008098722</c:v>
                </c:pt>
                <c:pt idx="19">
                  <c:v>-0.18539247461019004</c:v>
                </c:pt>
                <c:pt idx="20">
                  <c:v>-0.10912598927403316</c:v>
                </c:pt>
                <c:pt idx="21">
                  <c:v>0.72169087176508484</c:v>
                </c:pt>
                <c:pt idx="22">
                  <c:v>1.2923874862253584</c:v>
                </c:pt>
                <c:pt idx="23">
                  <c:v>0.4054674580449068</c:v>
                </c:pt>
                <c:pt idx="24">
                  <c:v>-8.1778893206892203E-2</c:v>
                </c:pt>
                <c:pt idx="25">
                  <c:v>0.45648409747804675</c:v>
                </c:pt>
                <c:pt idx="26">
                  <c:v>0.17377391967050509</c:v>
                </c:pt>
                <c:pt idx="27">
                  <c:v>-2.6889814307934028</c:v>
                </c:pt>
                <c:pt idx="28">
                  <c:v>-1.1643441413980335</c:v>
                </c:pt>
                <c:pt idx="29">
                  <c:v>-0.60980874989331002</c:v>
                </c:pt>
                <c:pt idx="30">
                  <c:v>-0.40734226136533619</c:v>
                </c:pt>
                <c:pt idx="31">
                  <c:v>0.55741084189997803</c:v>
                </c:pt>
                <c:pt idx="32">
                  <c:v>0.55568222190796412</c:v>
                </c:pt>
                <c:pt idx="33">
                  <c:v>-0.81386858822973429</c:v>
                </c:pt>
                <c:pt idx="34">
                  <c:v>-0.72690553867918639</c:v>
                </c:pt>
                <c:pt idx="35">
                  <c:v>0.20876234022431397</c:v>
                </c:pt>
                <c:pt idx="36">
                  <c:v>0.60038863824293187</c:v>
                </c:pt>
                <c:pt idx="37">
                  <c:v>0.31265987545292578</c:v>
                </c:pt>
                <c:pt idx="38">
                  <c:v>-0.93057891469244558</c:v>
                </c:pt>
                <c:pt idx="39">
                  <c:v>3.2153386090062755E-2</c:v>
                </c:pt>
                <c:pt idx="40">
                  <c:v>-1.708875113285151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BB-43DF-AC3C-E286AF95AF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27938271"/>
        <c:axId val="568898095"/>
      </c:lineChart>
      <c:dateAx>
        <c:axId val="727938271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8898095"/>
        <c:crosses val="autoZero"/>
        <c:auto val="1"/>
        <c:lblOffset val="100"/>
        <c:baseTimeUnit val="months"/>
      </c:dateAx>
      <c:valAx>
        <c:axId val="56889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279382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TAIWAN</a:t>
            </a:r>
            <a:r>
              <a:rPr lang="en-US" baseline="0"/>
              <a:t>     CORR=0.3823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Sheet1!$D$1</c:f>
              <c:strCache>
                <c:ptCount val="1"/>
                <c:pt idx="0">
                  <c:v>CWT_stand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Sheet1!$D$2:$D$42</c:f>
              <c:numCache>
                <c:formatCode>General</c:formatCode>
                <c:ptCount val="41"/>
                <c:pt idx="0">
                  <c:v>0.89875103732476258</c:v>
                </c:pt>
                <c:pt idx="1">
                  <c:v>1.2418985425113673</c:v>
                </c:pt>
                <c:pt idx="2">
                  <c:v>1.5912828465374862</c:v>
                </c:pt>
                <c:pt idx="3">
                  <c:v>1.1329926122302596</c:v>
                </c:pt>
                <c:pt idx="4">
                  <c:v>1.7409039195422371</c:v>
                </c:pt>
                <c:pt idx="5">
                  <c:v>-0.90784521545212771</c:v>
                </c:pt>
                <c:pt idx="6">
                  <c:v>0.52684458027875269</c:v>
                </c:pt>
                <c:pt idx="7">
                  <c:v>0.22715439793385717</c:v>
                </c:pt>
                <c:pt idx="8">
                  <c:v>1.2065955064733604</c:v>
                </c:pt>
                <c:pt idx="9">
                  <c:v>-0.62517840580975292</c:v>
                </c:pt>
                <c:pt idx="10">
                  <c:v>1.4438171345767112</c:v>
                </c:pt>
                <c:pt idx="11">
                  <c:v>0.8014081508075297</c:v>
                </c:pt>
                <c:pt idx="12">
                  <c:v>-0.16674496742206985</c:v>
                </c:pt>
                <c:pt idx="13">
                  <c:v>-1.7948663221200321</c:v>
                </c:pt>
                <c:pt idx="14">
                  <c:v>-1.0787125042865893</c:v>
                </c:pt>
                <c:pt idx="15">
                  <c:v>-1.5412400393836716</c:v>
                </c:pt>
                <c:pt idx="16">
                  <c:v>-0.52885921490876098</c:v>
                </c:pt>
                <c:pt idx="17">
                  <c:v>0.23187290769102362</c:v>
                </c:pt>
                <c:pt idx="18">
                  <c:v>-0.289934008098722</c:v>
                </c:pt>
                <c:pt idx="19">
                  <c:v>-0.18539247461019004</c:v>
                </c:pt>
                <c:pt idx="20">
                  <c:v>-0.10912598927403316</c:v>
                </c:pt>
                <c:pt idx="21">
                  <c:v>0.72169087176508484</c:v>
                </c:pt>
                <c:pt idx="22">
                  <c:v>1.2923874862253584</c:v>
                </c:pt>
                <c:pt idx="23">
                  <c:v>0.4054674580449068</c:v>
                </c:pt>
                <c:pt idx="24">
                  <c:v>-8.1778893206892203E-2</c:v>
                </c:pt>
                <c:pt idx="25">
                  <c:v>0.45648409747804675</c:v>
                </c:pt>
                <c:pt idx="26">
                  <c:v>0.17377391967050509</c:v>
                </c:pt>
                <c:pt idx="27">
                  <c:v>-2.6889814307934028</c:v>
                </c:pt>
                <c:pt idx="28">
                  <c:v>-1.1643441413980335</c:v>
                </c:pt>
                <c:pt idx="29">
                  <c:v>-0.60980874989331002</c:v>
                </c:pt>
                <c:pt idx="30">
                  <c:v>-0.40734226136533619</c:v>
                </c:pt>
                <c:pt idx="31">
                  <c:v>0.55741084189997803</c:v>
                </c:pt>
                <c:pt idx="32">
                  <c:v>0.55568222190796412</c:v>
                </c:pt>
                <c:pt idx="33">
                  <c:v>-0.81386858822973429</c:v>
                </c:pt>
                <c:pt idx="34">
                  <c:v>-0.72690553867918639</c:v>
                </c:pt>
                <c:pt idx="35">
                  <c:v>0.20876234022431397</c:v>
                </c:pt>
                <c:pt idx="36">
                  <c:v>0.60038863824293187</c:v>
                </c:pt>
                <c:pt idx="37">
                  <c:v>0.31265987545292578</c:v>
                </c:pt>
                <c:pt idx="38">
                  <c:v>-0.93057891469244558</c:v>
                </c:pt>
                <c:pt idx="39">
                  <c:v>3.2153386090062755E-2</c:v>
                </c:pt>
                <c:pt idx="40">
                  <c:v>-1.708875113285151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845-4D2E-9148-B8DDB630BFFE}"/>
            </c:ext>
          </c:extLst>
        </c:ser>
        <c:ser>
          <c:idx val="1"/>
          <c:order val="1"/>
          <c:tx>
            <c:strRef>
              <c:f>Sheet1!$E$1</c:f>
              <c:strCache>
                <c:ptCount val="1"/>
                <c:pt idx="0">
                  <c:v> -GPRC_TWN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Sheet1!$A$2:$A$42</c:f>
              <c:numCache>
                <c:formatCode>m/d/yyyy</c:formatCode>
                <c:ptCount val="41"/>
                <c:pt idx="0">
                  <c:v>43466</c:v>
                </c:pt>
                <c:pt idx="1">
                  <c:v>43497</c:v>
                </c:pt>
                <c:pt idx="2">
                  <c:v>43525</c:v>
                </c:pt>
                <c:pt idx="3">
                  <c:v>43556</c:v>
                </c:pt>
                <c:pt idx="4">
                  <c:v>43586</c:v>
                </c:pt>
                <c:pt idx="5">
                  <c:v>43617</c:v>
                </c:pt>
                <c:pt idx="6">
                  <c:v>43647</c:v>
                </c:pt>
                <c:pt idx="7">
                  <c:v>43678</c:v>
                </c:pt>
                <c:pt idx="8">
                  <c:v>43709</c:v>
                </c:pt>
                <c:pt idx="9">
                  <c:v>43739</c:v>
                </c:pt>
                <c:pt idx="10">
                  <c:v>43770</c:v>
                </c:pt>
                <c:pt idx="11">
                  <c:v>43800</c:v>
                </c:pt>
                <c:pt idx="12">
                  <c:v>43831</c:v>
                </c:pt>
                <c:pt idx="13">
                  <c:v>43862</c:v>
                </c:pt>
                <c:pt idx="14">
                  <c:v>43891</c:v>
                </c:pt>
                <c:pt idx="15">
                  <c:v>43922</c:v>
                </c:pt>
                <c:pt idx="16">
                  <c:v>43952</c:v>
                </c:pt>
                <c:pt idx="17">
                  <c:v>43983</c:v>
                </c:pt>
                <c:pt idx="18">
                  <c:v>44013</c:v>
                </c:pt>
                <c:pt idx="19">
                  <c:v>44044</c:v>
                </c:pt>
                <c:pt idx="20">
                  <c:v>44075</c:v>
                </c:pt>
                <c:pt idx="21">
                  <c:v>44105</c:v>
                </c:pt>
                <c:pt idx="22">
                  <c:v>44136</c:v>
                </c:pt>
                <c:pt idx="23">
                  <c:v>44166</c:v>
                </c:pt>
                <c:pt idx="24">
                  <c:v>44197</c:v>
                </c:pt>
                <c:pt idx="25">
                  <c:v>44228</c:v>
                </c:pt>
                <c:pt idx="26">
                  <c:v>44256</c:v>
                </c:pt>
                <c:pt idx="27">
                  <c:v>44287</c:v>
                </c:pt>
                <c:pt idx="28">
                  <c:v>44317</c:v>
                </c:pt>
                <c:pt idx="29">
                  <c:v>44348</c:v>
                </c:pt>
                <c:pt idx="30">
                  <c:v>44378</c:v>
                </c:pt>
                <c:pt idx="31">
                  <c:v>44409</c:v>
                </c:pt>
                <c:pt idx="32">
                  <c:v>44440</c:v>
                </c:pt>
                <c:pt idx="33">
                  <c:v>44470</c:v>
                </c:pt>
                <c:pt idx="34">
                  <c:v>44501</c:v>
                </c:pt>
                <c:pt idx="35">
                  <c:v>44531</c:v>
                </c:pt>
                <c:pt idx="36">
                  <c:v>44562</c:v>
                </c:pt>
                <c:pt idx="37">
                  <c:v>44593</c:v>
                </c:pt>
                <c:pt idx="38">
                  <c:v>44621</c:v>
                </c:pt>
                <c:pt idx="39">
                  <c:v>44652</c:v>
                </c:pt>
                <c:pt idx="40">
                  <c:v>44682</c:v>
                </c:pt>
              </c:numCache>
            </c:numRef>
          </c:cat>
          <c:val>
            <c:numRef>
              <c:f>Sheet1!$E$2:$E$42</c:f>
              <c:numCache>
                <c:formatCode>#,##0.00</c:formatCode>
                <c:ptCount val="41"/>
                <c:pt idx="0">
                  <c:v>-2.9749255627393723E-2</c:v>
                </c:pt>
                <c:pt idx="1">
                  <c:v>-9.4419792294502258E-3</c:v>
                </c:pt>
                <c:pt idx="2">
                  <c:v>-4.5883040875196457E-2</c:v>
                </c:pt>
                <c:pt idx="3">
                  <c:v>-4.4766765087842941E-2</c:v>
                </c:pt>
                <c:pt idx="4">
                  <c:v>-5.5875524878501892E-2</c:v>
                </c:pt>
                <c:pt idx="5">
                  <c:v>-8.6288720369338989E-2</c:v>
                </c:pt>
                <c:pt idx="6">
                  <c:v>-5.7517033070325851E-2</c:v>
                </c:pt>
                <c:pt idx="7">
                  <c:v>-8.406335860490799E-2</c:v>
                </c:pt>
                <c:pt idx="8">
                  <c:v>-3.9860047399997711E-2</c:v>
                </c:pt>
                <c:pt idx="9">
                  <c:v>-4.2041536420583725E-2</c:v>
                </c:pt>
                <c:pt idx="10">
                  <c:v>-4.8415493220090866E-2</c:v>
                </c:pt>
                <c:pt idx="11">
                  <c:v>-1.9415590912103653E-2</c:v>
                </c:pt>
                <c:pt idx="12">
                  <c:v>-8.3829693496227264E-2</c:v>
                </c:pt>
                <c:pt idx="13">
                  <c:v>-6.2416408210992813E-2</c:v>
                </c:pt>
                <c:pt idx="14">
                  <c:v>-2.9929878190159798E-2</c:v>
                </c:pt>
                <c:pt idx="15">
                  <c:v>-5.5707719177007675E-2</c:v>
                </c:pt>
                <c:pt idx="16">
                  <c:v>-0.10814707726240158</c:v>
                </c:pt>
                <c:pt idx="17">
                  <c:v>-0.12458471953868866</c:v>
                </c:pt>
                <c:pt idx="18">
                  <c:v>-0.17552545666694641</c:v>
                </c:pt>
                <c:pt idx="19">
                  <c:v>-7.5693488121032715E-2</c:v>
                </c:pt>
                <c:pt idx="20">
                  <c:v>-0.1658003181219101</c:v>
                </c:pt>
                <c:pt idx="21">
                  <c:v>-0.10545408725738525</c:v>
                </c:pt>
                <c:pt idx="22">
                  <c:v>-7.3418073356151581E-2</c:v>
                </c:pt>
                <c:pt idx="23">
                  <c:v>-6.1378657817840576E-2</c:v>
                </c:pt>
                <c:pt idx="24">
                  <c:v>-0.25577783584594727</c:v>
                </c:pt>
                <c:pt idx="25">
                  <c:v>-7.004903256893158E-2</c:v>
                </c:pt>
                <c:pt idx="26">
                  <c:v>-0.14029689133167267</c:v>
                </c:pt>
                <c:pt idx="27">
                  <c:v>-0.20247794687747955</c:v>
                </c:pt>
                <c:pt idx="28">
                  <c:v>-0.11743153631687164</c:v>
                </c:pt>
                <c:pt idx="29">
                  <c:v>-0.1542094349861145</c:v>
                </c:pt>
                <c:pt idx="30">
                  <c:v>-0.12071126699447632</c:v>
                </c:pt>
                <c:pt idx="31">
                  <c:v>-0.12001200020313263</c:v>
                </c:pt>
                <c:pt idx="32">
                  <c:v>-0.20235112309455872</c:v>
                </c:pt>
                <c:pt idx="33">
                  <c:v>-0.3179430365562439</c:v>
                </c:pt>
                <c:pt idx="34">
                  <c:v>-0.23890784382820129</c:v>
                </c:pt>
                <c:pt idx="35">
                  <c:v>-0.33998072147369385</c:v>
                </c:pt>
                <c:pt idx="36">
                  <c:v>-0.22030843794345856</c:v>
                </c:pt>
                <c:pt idx="37">
                  <c:v>-0.26024046540260315</c:v>
                </c:pt>
                <c:pt idx="38">
                  <c:v>-0.37856146693229675</c:v>
                </c:pt>
                <c:pt idx="39">
                  <c:v>-0.12715713679790497</c:v>
                </c:pt>
                <c:pt idx="40">
                  <c:v>-0.3190104067325592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845-4D2E-9148-B8DDB630BFF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913845903"/>
        <c:axId val="915854335"/>
      </c:lineChart>
      <c:dateAx>
        <c:axId val="913845903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5854335"/>
        <c:crosses val="autoZero"/>
        <c:auto val="1"/>
        <c:lblOffset val="100"/>
        <c:baseTimeUnit val="months"/>
      </c:dateAx>
      <c:valAx>
        <c:axId val="915854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384590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F805F8A-B131-40BC-AD6E-0C062E30CA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150018</xdr:colOff>
      <xdr:row>34</xdr:row>
      <xdr:rowOff>178593</xdr:rowOff>
    </xdr:from>
    <xdr:to>
      <xdr:col>13</xdr:col>
      <xdr:colOff>188118</xdr:colOff>
      <xdr:row>50</xdr:row>
      <xdr:rowOff>26193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A3DD16E1-08E8-47FB-95FB-277955B3ED9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121443</xdr:colOff>
      <xdr:row>19</xdr:row>
      <xdr:rowOff>164306</xdr:rowOff>
    </xdr:from>
    <xdr:to>
      <xdr:col>13</xdr:col>
      <xdr:colOff>159543</xdr:colOff>
      <xdr:row>35</xdr:row>
      <xdr:rowOff>11906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41E3830-37BC-4023-8344-3688391B7B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2"/>
  <sheetViews>
    <sheetView tabSelected="1" topLeftCell="A14" workbookViewId="0">
      <selection activeCell="D1" activeCellId="1" sqref="A1:A42 D1:E42"/>
    </sheetView>
  </sheetViews>
  <sheetFormatPr defaultRowHeight="14.25" x14ac:dyDescent="0.45"/>
  <sheetData>
    <row r="1" spans="1:7" x14ac:dyDescent="0.45">
      <c r="A1" t="s">
        <v>1</v>
      </c>
      <c r="B1" t="s">
        <v>2</v>
      </c>
      <c r="C1" s="1" t="s">
        <v>0</v>
      </c>
      <c r="D1" t="s">
        <v>8</v>
      </c>
      <c r="E1" t="s">
        <v>9</v>
      </c>
    </row>
    <row r="2" spans="1:7" x14ac:dyDescent="0.45">
      <c r="A2" s="2">
        <v>43466</v>
      </c>
      <c r="B2" s="3">
        <v>2.9749255627393723E-2</v>
      </c>
      <c r="C2">
        <v>-56.673358659338682</v>
      </c>
      <c r="D2">
        <f>STANDARDIZE(C2,$G$2,$G$3)</f>
        <v>0.89875103732476258</v>
      </c>
      <c r="E2" s="3">
        <f>-B2</f>
        <v>-2.9749255627393723E-2</v>
      </c>
      <c r="F2" t="s">
        <v>3</v>
      </c>
      <c r="G2">
        <f>AVERAGE(C2:C42)</f>
        <v>-105.76103168556588</v>
      </c>
    </row>
    <row r="3" spans="1:7" x14ac:dyDescent="0.45">
      <c r="A3" s="2">
        <v>43497</v>
      </c>
      <c r="B3" s="3">
        <v>9.4419792294502258E-3</v>
      </c>
      <c r="C3">
        <v>-37.931447012143579</v>
      </c>
      <c r="D3">
        <f t="shared" ref="D3:D42" si="0">STANDARDIZE(C3,$G$2,$G$3)</f>
        <v>1.2418985425113673</v>
      </c>
      <c r="E3" s="3">
        <f t="shared" ref="E3:E42" si="1">-B3</f>
        <v>-9.4419792294502258E-3</v>
      </c>
      <c r="F3" t="s">
        <v>4</v>
      </c>
      <c r="G3">
        <f>STDEV(C2:C42)</f>
        <v>54.617653819173761</v>
      </c>
    </row>
    <row r="4" spans="1:7" x14ac:dyDescent="0.45">
      <c r="A4" s="2">
        <v>43525</v>
      </c>
      <c r="B4" s="3">
        <v>4.5883040875196457E-2</v>
      </c>
      <c r="C4">
        <v>-18.84889604499206</v>
      </c>
      <c r="D4">
        <f t="shared" si="0"/>
        <v>1.5912828465374862</v>
      </c>
      <c r="E4" s="3">
        <f t="shared" si="1"/>
        <v>-4.5883040875196457E-2</v>
      </c>
      <c r="F4" t="s">
        <v>5</v>
      </c>
      <c r="G4">
        <f>CORREL(C2:C42,B2:B42)</f>
        <v>-0.38238499204099674</v>
      </c>
    </row>
    <row r="5" spans="1:7" x14ac:dyDescent="0.45">
      <c r="A5" s="2">
        <v>43556</v>
      </c>
      <c r="B5" s="3">
        <v>4.4766765087842941E-2</v>
      </c>
      <c r="C5">
        <v>-43.879633411092193</v>
      </c>
      <c r="D5">
        <f t="shared" si="0"/>
        <v>1.1329926122302596</v>
      </c>
      <c r="E5" s="3">
        <f t="shared" si="1"/>
        <v>-4.4766765087842941E-2</v>
      </c>
    </row>
    <row r="6" spans="1:7" x14ac:dyDescent="0.45">
      <c r="A6" s="2">
        <v>43586</v>
      </c>
      <c r="B6" s="3">
        <v>5.5875524878501892E-2</v>
      </c>
      <c r="C6">
        <v>-10.676944075565251</v>
      </c>
      <c r="D6">
        <f t="shared" si="0"/>
        <v>1.7409039195422371</v>
      </c>
      <c r="E6" s="3">
        <f t="shared" si="1"/>
        <v>-5.5875524878501892E-2</v>
      </c>
    </row>
    <row r="7" spans="1:7" x14ac:dyDescent="0.45">
      <c r="A7" s="2">
        <v>43617</v>
      </c>
      <c r="B7" s="3">
        <v>8.6288720369338989E-2</v>
      </c>
      <c r="C7">
        <v>-155.34540738452341</v>
      </c>
      <c r="D7">
        <f t="shared" si="0"/>
        <v>-0.90784521545212771</v>
      </c>
      <c r="E7" s="3">
        <f t="shared" si="1"/>
        <v>-8.6288720369338989E-2</v>
      </c>
    </row>
    <row r="8" spans="1:7" x14ac:dyDescent="0.45">
      <c r="A8" s="2">
        <v>43647</v>
      </c>
      <c r="B8" s="3">
        <v>5.7517033070325851E-2</v>
      </c>
      <c r="C8">
        <v>-76.986016783393069</v>
      </c>
      <c r="D8">
        <f t="shared" si="0"/>
        <v>0.52684458027875269</v>
      </c>
      <c r="E8" s="3">
        <f t="shared" si="1"/>
        <v>-5.7517033070325851E-2</v>
      </c>
    </row>
    <row r="9" spans="1:7" x14ac:dyDescent="0.45">
      <c r="A9" s="2">
        <v>43678</v>
      </c>
      <c r="B9" s="3">
        <v>8.406335860490799E-2</v>
      </c>
      <c r="C9">
        <v>-93.354391415711632</v>
      </c>
      <c r="D9">
        <f t="shared" si="0"/>
        <v>0.22715439793385717</v>
      </c>
      <c r="E9" s="3">
        <f t="shared" si="1"/>
        <v>-8.406335860490799E-2</v>
      </c>
    </row>
    <row r="10" spans="1:7" x14ac:dyDescent="0.45">
      <c r="A10" s="2">
        <v>43709</v>
      </c>
      <c r="B10" s="3">
        <v>3.9860047399997711E-2</v>
      </c>
      <c r="C10">
        <v>-39.85961601323325</v>
      </c>
      <c r="D10">
        <f t="shared" si="0"/>
        <v>1.2065955064733604</v>
      </c>
      <c r="E10" s="3">
        <f t="shared" si="1"/>
        <v>-3.9860047399997711E-2</v>
      </c>
    </row>
    <row r="11" spans="1:7" x14ac:dyDescent="0.45">
      <c r="A11" s="2">
        <v>43739</v>
      </c>
      <c r="B11" s="3">
        <v>4.2041536420583725E-2</v>
      </c>
      <c r="C11">
        <v>-139.90680942930589</v>
      </c>
      <c r="D11">
        <f t="shared" si="0"/>
        <v>-0.62517840580975292</v>
      </c>
      <c r="E11" s="3">
        <f t="shared" si="1"/>
        <v>-4.2041536420583725E-2</v>
      </c>
    </row>
    <row r="12" spans="1:7" x14ac:dyDescent="0.45">
      <c r="A12" s="2">
        <v>43770</v>
      </c>
      <c r="B12" s="3">
        <v>4.8415493220090866E-2</v>
      </c>
      <c r="C12">
        <v>-26.903127251063651</v>
      </c>
      <c r="D12">
        <f t="shared" si="0"/>
        <v>1.4438171345767112</v>
      </c>
      <c r="E12" s="3">
        <f t="shared" si="1"/>
        <v>-4.8415493220090866E-2</v>
      </c>
    </row>
    <row r="13" spans="1:7" x14ac:dyDescent="0.45">
      <c r="A13" s="2">
        <v>43800</v>
      </c>
      <c r="B13" s="3">
        <v>1.9415590912103653E-2</v>
      </c>
      <c r="C13">
        <v>-61.989998736896027</v>
      </c>
      <c r="D13">
        <f t="shared" si="0"/>
        <v>0.8014081508075297</v>
      </c>
      <c r="E13" s="3">
        <f t="shared" si="1"/>
        <v>-1.9415590912103653E-2</v>
      </c>
    </row>
    <row r="14" spans="1:7" x14ac:dyDescent="0.45">
      <c r="A14" s="2">
        <v>43831</v>
      </c>
      <c r="B14" s="3">
        <v>8.3829693496227264E-2</v>
      </c>
      <c r="C14">
        <v>-114.8682505923139</v>
      </c>
      <c r="D14">
        <f t="shared" si="0"/>
        <v>-0.16674496742206985</v>
      </c>
      <c r="E14" s="3">
        <f t="shared" si="1"/>
        <v>-8.3829693496227264E-2</v>
      </c>
    </row>
    <row r="15" spans="1:7" x14ac:dyDescent="0.45">
      <c r="A15" s="2">
        <v>43862</v>
      </c>
      <c r="B15" s="3">
        <v>6.2416408210992813E-2</v>
      </c>
      <c r="C15">
        <v>-203.79241911881141</v>
      </c>
      <c r="D15">
        <f t="shared" si="0"/>
        <v>-1.7948663221200321</v>
      </c>
      <c r="E15" s="3">
        <f t="shared" si="1"/>
        <v>-6.2416408210992813E-2</v>
      </c>
    </row>
    <row r="16" spans="1:7" x14ac:dyDescent="0.45">
      <c r="A16" s="2">
        <v>43891</v>
      </c>
      <c r="B16" s="3">
        <v>2.9929878190159798E-2</v>
      </c>
      <c r="C16">
        <v>-164.6777778151048</v>
      </c>
      <c r="D16">
        <f t="shared" si="0"/>
        <v>-1.0787125042865893</v>
      </c>
      <c r="E16" s="3">
        <f t="shared" si="1"/>
        <v>-2.9929878190159798E-2</v>
      </c>
    </row>
    <row r="17" spans="1:5" x14ac:dyDescent="0.45">
      <c r="A17" s="2">
        <v>43922</v>
      </c>
      <c r="B17" s="3">
        <v>5.5707719177007675E-2</v>
      </c>
      <c r="C17">
        <v>-189.93994660887299</v>
      </c>
      <c r="D17">
        <f t="shared" si="0"/>
        <v>-1.5412400393836716</v>
      </c>
      <c r="E17" s="3">
        <f t="shared" si="1"/>
        <v>-5.5707719177007675E-2</v>
      </c>
    </row>
    <row r="18" spans="1:5" x14ac:dyDescent="0.45">
      <c r="A18" s="2">
        <v>43952</v>
      </c>
      <c r="B18" s="3">
        <v>0.10814707726240158</v>
      </c>
      <c r="C18">
        <v>-134.64608120453261</v>
      </c>
      <c r="D18">
        <f t="shared" si="0"/>
        <v>-0.52885921490876098</v>
      </c>
      <c r="E18" s="3">
        <f t="shared" si="1"/>
        <v>-0.10814707726240158</v>
      </c>
    </row>
    <row r="19" spans="1:5" x14ac:dyDescent="0.45">
      <c r="A19" s="2">
        <v>43983</v>
      </c>
      <c r="B19" s="3">
        <v>0.12458471953868866</v>
      </c>
      <c r="C19">
        <v>-93.096677483252321</v>
      </c>
      <c r="D19">
        <f t="shared" si="0"/>
        <v>0.23187290769102362</v>
      </c>
      <c r="E19" s="3">
        <f t="shared" si="1"/>
        <v>-0.12458471953868866</v>
      </c>
    </row>
    <row r="20" spans="1:5" x14ac:dyDescent="0.45">
      <c r="A20" s="2">
        <v>44013</v>
      </c>
      <c r="B20" s="3">
        <v>0.17552545666694641</v>
      </c>
      <c r="C20">
        <v>-121.5965469703074</v>
      </c>
      <c r="D20">
        <f t="shared" si="0"/>
        <v>-0.289934008098722</v>
      </c>
      <c r="E20" s="3">
        <f t="shared" si="1"/>
        <v>-0.17552545666694641</v>
      </c>
    </row>
    <row r="21" spans="1:5" x14ac:dyDescent="0.45">
      <c r="A21" s="2">
        <v>44044</v>
      </c>
      <c r="B21" s="3">
        <v>7.5693488121032715E-2</v>
      </c>
      <c r="C21">
        <v>-115.8867336845052</v>
      </c>
      <c r="D21">
        <f t="shared" si="0"/>
        <v>-0.18539247461019004</v>
      </c>
      <c r="E21" s="3">
        <f t="shared" si="1"/>
        <v>-7.5693488121032715E-2</v>
      </c>
    </row>
    <row r="22" spans="1:5" x14ac:dyDescent="0.45">
      <c r="A22" s="2">
        <v>44075</v>
      </c>
      <c r="B22" s="3">
        <v>0.1658003181219101</v>
      </c>
      <c r="C22">
        <v>-111.72123719040989</v>
      </c>
      <c r="D22">
        <f t="shared" si="0"/>
        <v>-0.10912598927403316</v>
      </c>
      <c r="E22" s="3">
        <f t="shared" si="1"/>
        <v>-0.1658003181219101</v>
      </c>
    </row>
    <row r="23" spans="1:5" x14ac:dyDescent="0.45">
      <c r="A23" s="2">
        <v>44105</v>
      </c>
      <c r="B23" s="3">
        <v>0.10545408725738525</v>
      </c>
      <c r="C23">
        <v>-66.343969487042756</v>
      </c>
      <c r="D23">
        <f t="shared" si="0"/>
        <v>0.72169087176508484</v>
      </c>
      <c r="E23" s="3">
        <f t="shared" si="1"/>
        <v>-0.10545408725738525</v>
      </c>
    </row>
    <row r="24" spans="1:5" x14ac:dyDescent="0.45">
      <c r="A24" s="2">
        <v>44136</v>
      </c>
      <c r="B24" s="3">
        <v>7.3418073356151581E-2</v>
      </c>
      <c r="C24">
        <v>-35.173859362677057</v>
      </c>
      <c r="D24">
        <f t="shared" si="0"/>
        <v>1.2923874862253584</v>
      </c>
      <c r="E24" s="3">
        <f t="shared" si="1"/>
        <v>-7.3418073356151581E-2</v>
      </c>
    </row>
    <row r="25" spans="1:5" x14ac:dyDescent="0.45">
      <c r="A25" s="2">
        <v>44166</v>
      </c>
      <c r="B25" s="3">
        <v>6.1378657817840576E-2</v>
      </c>
      <c r="C25">
        <v>-83.615350427128803</v>
      </c>
      <c r="D25">
        <f t="shared" si="0"/>
        <v>0.4054674580449068</v>
      </c>
      <c r="E25" s="3">
        <f t="shared" si="1"/>
        <v>-6.1378657817840576E-2</v>
      </c>
    </row>
    <row r="26" spans="1:5" x14ac:dyDescent="0.45">
      <c r="A26" s="2">
        <v>44197</v>
      </c>
      <c r="B26" s="3">
        <v>0.25577783584594727</v>
      </c>
      <c r="C26">
        <v>-110.2276029644551</v>
      </c>
      <c r="D26">
        <f t="shared" si="0"/>
        <v>-8.1778893206892203E-2</v>
      </c>
      <c r="E26" s="3">
        <f t="shared" si="1"/>
        <v>-0.25577783584594727</v>
      </c>
    </row>
    <row r="27" spans="1:5" x14ac:dyDescent="0.45">
      <c r="A27" s="2">
        <v>44228</v>
      </c>
      <c r="B27" s="3">
        <v>7.004903256893158E-2</v>
      </c>
      <c r="C27">
        <v>-80.828941275551955</v>
      </c>
      <c r="D27">
        <f t="shared" si="0"/>
        <v>0.45648409747804675</v>
      </c>
      <c r="E27" s="3">
        <f t="shared" si="1"/>
        <v>-7.004903256893158E-2</v>
      </c>
    </row>
    <row r="28" spans="1:5" x14ac:dyDescent="0.45">
      <c r="A28" s="2">
        <v>44256</v>
      </c>
      <c r="B28" s="3">
        <v>0.14029689133167267</v>
      </c>
      <c r="C28">
        <v>-96.269907898201325</v>
      </c>
      <c r="D28">
        <f t="shared" si="0"/>
        <v>0.17377391967050509</v>
      </c>
      <c r="E28" s="3">
        <f t="shared" si="1"/>
        <v>-0.14029689133167267</v>
      </c>
    </row>
    <row r="29" spans="1:5" x14ac:dyDescent="0.45">
      <c r="A29" s="2">
        <v>44287</v>
      </c>
      <c r="B29" s="3">
        <v>0.20247794687747955</v>
      </c>
      <c r="C29">
        <v>-252.6268885988265</v>
      </c>
      <c r="D29">
        <f t="shared" si="0"/>
        <v>-2.6889814307934028</v>
      </c>
      <c r="E29" s="3">
        <f t="shared" si="1"/>
        <v>-0.20247794687747955</v>
      </c>
    </row>
    <row r="30" spans="1:5" x14ac:dyDescent="0.45">
      <c r="A30" s="2">
        <v>44317</v>
      </c>
      <c r="B30" s="3">
        <v>0.11743153631687164</v>
      </c>
      <c r="C30">
        <v>-169.35477692682679</v>
      </c>
      <c r="D30">
        <f t="shared" si="0"/>
        <v>-1.1643441413980335</v>
      </c>
      <c r="E30" s="3">
        <f t="shared" si="1"/>
        <v>-0.11743153631687164</v>
      </c>
    </row>
    <row r="31" spans="1:5" x14ac:dyDescent="0.45">
      <c r="A31" s="2">
        <v>44348</v>
      </c>
      <c r="B31" s="3">
        <v>0.1542094349861145</v>
      </c>
      <c r="C31">
        <v>-139.0673548831418</v>
      </c>
      <c r="D31">
        <f t="shared" si="0"/>
        <v>-0.60980874989331002</v>
      </c>
      <c r="E31" s="3">
        <f t="shared" si="1"/>
        <v>-0.1542094349861145</v>
      </c>
    </row>
    <row r="32" spans="1:5" x14ac:dyDescent="0.45">
      <c r="A32" s="2">
        <v>44378</v>
      </c>
      <c r="B32" s="3">
        <v>0.12071126699447632</v>
      </c>
      <c r="C32">
        <v>-128.00911030273721</v>
      </c>
      <c r="D32">
        <f t="shared" si="0"/>
        <v>-0.40734226136533619</v>
      </c>
      <c r="E32" s="3">
        <f t="shared" si="1"/>
        <v>-0.12071126699447632</v>
      </c>
    </row>
    <row r="33" spans="1:5" x14ac:dyDescent="0.45">
      <c r="A33" s="2">
        <v>44409</v>
      </c>
      <c r="B33" s="3">
        <v>0.12001200020313263</v>
      </c>
      <c r="C33">
        <v>-75.316559287618688</v>
      </c>
      <c r="D33">
        <f t="shared" si="0"/>
        <v>0.55741084189997803</v>
      </c>
      <c r="E33" s="3">
        <f t="shared" si="1"/>
        <v>-0.12001200020313263</v>
      </c>
    </row>
    <row r="34" spans="1:5" x14ac:dyDescent="0.45">
      <c r="A34" s="2">
        <v>44440</v>
      </c>
      <c r="B34" s="3">
        <v>0.20235112309455872</v>
      </c>
      <c r="C34">
        <v>-75.410972455927407</v>
      </c>
      <c r="D34">
        <f t="shared" si="0"/>
        <v>0.55568222190796412</v>
      </c>
      <c r="E34" s="3">
        <f t="shared" si="1"/>
        <v>-0.20235112309455872</v>
      </c>
    </row>
    <row r="35" spans="1:5" x14ac:dyDescent="0.45">
      <c r="A35" s="2">
        <v>44470</v>
      </c>
      <c r="B35" s="3">
        <v>0.3179430365562439</v>
      </c>
      <c r="C35">
        <v>-150.21262449179719</v>
      </c>
      <c r="D35">
        <f t="shared" si="0"/>
        <v>-0.81386858822973429</v>
      </c>
      <c r="E35" s="3">
        <f t="shared" si="1"/>
        <v>-0.3179430365562439</v>
      </c>
    </row>
    <row r="36" spans="1:5" x14ac:dyDescent="0.45">
      <c r="A36" s="2">
        <v>44501</v>
      </c>
      <c r="B36" s="3">
        <v>0.23890784382820129</v>
      </c>
      <c r="C36">
        <v>-145.46290675638571</v>
      </c>
      <c r="D36">
        <f t="shared" si="0"/>
        <v>-0.72690553867918639</v>
      </c>
      <c r="E36" s="3">
        <f t="shared" si="1"/>
        <v>-0.23890784382820129</v>
      </c>
    </row>
    <row r="37" spans="1:5" x14ac:dyDescent="0.45">
      <c r="A37" s="2">
        <v>44531</v>
      </c>
      <c r="B37" s="3">
        <v>0.33998072147369385</v>
      </c>
      <c r="C37">
        <v>-94.358922456713728</v>
      </c>
      <c r="D37">
        <f t="shared" si="0"/>
        <v>0.20876234022431397</v>
      </c>
      <c r="E37" s="3">
        <f t="shared" si="1"/>
        <v>-0.33998072147369385</v>
      </c>
    </row>
    <row r="38" spans="1:5" x14ac:dyDescent="0.45">
      <c r="A38" s="2">
        <v>44562</v>
      </c>
      <c r="B38" s="3">
        <v>0.22030843794345856</v>
      </c>
      <c r="C38">
        <v>-72.969212885048279</v>
      </c>
      <c r="D38">
        <f t="shared" si="0"/>
        <v>0.60038863824293187</v>
      </c>
      <c r="E38" s="3">
        <f t="shared" si="1"/>
        <v>-0.22030843794345856</v>
      </c>
    </row>
    <row r="39" spans="1:5" x14ac:dyDescent="0.45">
      <c r="A39" s="2">
        <v>44593</v>
      </c>
      <c r="B39" s="3">
        <v>0.26024046540260315</v>
      </c>
      <c r="C39">
        <v>-88.684282844932</v>
      </c>
      <c r="D39">
        <f t="shared" si="0"/>
        <v>0.31265987545292578</v>
      </c>
      <c r="E39" s="3">
        <f t="shared" si="1"/>
        <v>-0.26024046540260315</v>
      </c>
    </row>
    <row r="40" spans="1:5" x14ac:dyDescent="0.45">
      <c r="A40" s="2">
        <v>44621</v>
      </c>
      <c r="B40" s="3">
        <v>0.37856146693229675</v>
      </c>
      <c r="C40">
        <v>-156.58706869966031</v>
      </c>
      <c r="D40">
        <f t="shared" si="0"/>
        <v>-0.93057891469244558</v>
      </c>
      <c r="E40" s="3">
        <f t="shared" si="1"/>
        <v>-0.37856146693229675</v>
      </c>
    </row>
    <row r="41" spans="1:5" x14ac:dyDescent="0.45">
      <c r="A41" s="2">
        <v>44652</v>
      </c>
      <c r="B41" s="3">
        <v>0.12715713679790497</v>
      </c>
      <c r="C41">
        <v>-104.0048891749846</v>
      </c>
      <c r="D41">
        <f t="shared" si="0"/>
        <v>3.2153386090062755E-2</v>
      </c>
      <c r="E41" s="3">
        <f t="shared" si="1"/>
        <v>-0.12715713679790497</v>
      </c>
    </row>
    <row r="42" spans="1:5" x14ac:dyDescent="0.45">
      <c r="A42" s="2">
        <v>44682</v>
      </c>
      <c r="B42" s="3">
        <v>0.3190104067325592</v>
      </c>
      <c r="C42">
        <v>-199.09578104317561</v>
      </c>
      <c r="D42">
        <f t="shared" si="0"/>
        <v>-1.708875113285151</v>
      </c>
      <c r="E42" s="3">
        <f t="shared" si="1"/>
        <v>-0.3190104067325592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9D2AD9-BED0-4C58-B5F9-B20792EB2BC3}">
  <dimension ref="A1:B3"/>
  <sheetViews>
    <sheetView workbookViewId="0">
      <selection activeCell="H14" sqref="H14"/>
    </sheetView>
  </sheetViews>
  <sheetFormatPr defaultRowHeight="14.25" x14ac:dyDescent="0.45"/>
  <sheetData>
    <row r="1" spans="1:2" x14ac:dyDescent="0.45">
      <c r="B1" t="s">
        <v>6</v>
      </c>
    </row>
    <row r="2" spans="1:2" x14ac:dyDescent="0.45">
      <c r="A2" t="s">
        <v>5</v>
      </c>
      <c r="B2">
        <v>-0.38238</v>
      </c>
    </row>
    <row r="3" spans="1:2" x14ac:dyDescent="0.45">
      <c r="A3" t="s">
        <v>7</v>
      </c>
      <c r="B3">
        <v>1.3610000000000001E-2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 Dimercurio</cp:lastModifiedBy>
  <dcterms:created xsi:type="dcterms:W3CDTF">2022-06-24T15:03:25Z</dcterms:created>
  <dcterms:modified xsi:type="dcterms:W3CDTF">2022-06-27T14:27:13Z</dcterms:modified>
</cp:coreProperties>
</file>