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5A0ECC6A-8C4E-4C0B-96F1-81F80931B913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G3" i="1"/>
  <c r="G2" i="1"/>
  <c r="G4" i="1"/>
</calcChain>
</file>

<file path=xl/sharedStrings.xml><?xml version="1.0" encoding="utf-8"?>
<sst xmlns="http://schemas.openxmlformats.org/spreadsheetml/2006/main" count="12" uniqueCount="11">
  <si>
    <t>CWT_ID</t>
  </si>
  <si>
    <t>1.24541x10^-10</t>
  </si>
  <si>
    <t>CORR</t>
  </si>
  <si>
    <t>p-value</t>
  </si>
  <si>
    <t>SAUDI_ARABIA</t>
  </si>
  <si>
    <t>month</t>
  </si>
  <si>
    <t>GPRC_SAU</t>
  </si>
  <si>
    <t>MEDIA</t>
  </si>
  <si>
    <t>STDEV</t>
  </si>
  <si>
    <t>CWT_STAND</t>
  </si>
  <si>
    <t xml:space="preserve"> -GPRC_SAU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</si>
</sst>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SAUDI ARABIA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GPRC_SAU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0.31449213624000549</c:v>
                </c:pt>
                <c:pt idx="1">
                  <c:v>0.27381739020347595</c:v>
                </c:pt>
                <c:pt idx="2">
                  <c:v>0.24192875623703003</c:v>
                </c:pt>
                <c:pt idx="3">
                  <c:v>0.32679739594459534</c:v>
                </c:pt>
                <c:pt idx="4">
                  <c:v>0.58024585247039795</c:v>
                </c:pt>
                <c:pt idx="5">
                  <c:v>0.70756751298904419</c:v>
                </c:pt>
                <c:pt idx="6">
                  <c:v>0.33182904124259949</c:v>
                </c:pt>
                <c:pt idx="7">
                  <c:v>0.25219008326530457</c:v>
                </c:pt>
                <c:pt idx="8">
                  <c:v>0.90349441766738892</c:v>
                </c:pt>
                <c:pt idx="9">
                  <c:v>0.42041537165641785</c:v>
                </c:pt>
                <c:pt idx="10">
                  <c:v>0.11443661898374557</c:v>
                </c:pt>
                <c:pt idx="11">
                  <c:v>0.29608777165412903</c:v>
                </c:pt>
                <c:pt idx="12">
                  <c:v>0.80300021171569824</c:v>
                </c:pt>
                <c:pt idx="13">
                  <c:v>0.17833259701728821</c:v>
                </c:pt>
                <c:pt idx="14">
                  <c:v>8.1238240003585815E-2</c:v>
                </c:pt>
                <c:pt idx="15">
                  <c:v>0.13462698459625244</c:v>
                </c:pt>
                <c:pt idx="16">
                  <c:v>8.1110313534736633E-2</c:v>
                </c:pt>
                <c:pt idx="17">
                  <c:v>5.9985235333442688E-2</c:v>
                </c:pt>
                <c:pt idx="18">
                  <c:v>9.4513706862926483E-2</c:v>
                </c:pt>
                <c:pt idx="19">
                  <c:v>0.12912417948246002</c:v>
                </c:pt>
                <c:pt idx="20">
                  <c:v>0.10306506603956223</c:v>
                </c:pt>
                <c:pt idx="21">
                  <c:v>0.11389040946960449</c:v>
                </c:pt>
                <c:pt idx="22">
                  <c:v>0.13765887916088104</c:v>
                </c:pt>
                <c:pt idx="23">
                  <c:v>0.22190746665000916</c:v>
                </c:pt>
                <c:pt idx="24">
                  <c:v>0.20553576946258545</c:v>
                </c:pt>
                <c:pt idx="25">
                  <c:v>0.20014010369777679</c:v>
                </c:pt>
                <c:pt idx="26">
                  <c:v>0.23081099987030029</c:v>
                </c:pt>
                <c:pt idx="27">
                  <c:v>8.6776264011859894E-2</c:v>
                </c:pt>
                <c:pt idx="28">
                  <c:v>9.3945227563381195E-2</c:v>
                </c:pt>
                <c:pt idx="29">
                  <c:v>0.10601899027824402</c:v>
                </c:pt>
                <c:pt idx="30">
                  <c:v>6.499837338924408E-2</c:v>
                </c:pt>
                <c:pt idx="31">
                  <c:v>6.5006501972675323E-2</c:v>
                </c:pt>
                <c:pt idx="32">
                  <c:v>0.10117556154727936</c:v>
                </c:pt>
                <c:pt idx="33">
                  <c:v>0.10137314349412918</c:v>
                </c:pt>
                <c:pt idx="34">
                  <c:v>0.13164310157299042</c:v>
                </c:pt>
                <c:pt idx="35">
                  <c:v>0.15223017334938049</c:v>
                </c:pt>
                <c:pt idx="36">
                  <c:v>0.22531543672084808</c:v>
                </c:pt>
                <c:pt idx="37">
                  <c:v>0.17696350812911987</c:v>
                </c:pt>
                <c:pt idx="38">
                  <c:v>0.47320184111595154</c:v>
                </c:pt>
                <c:pt idx="39">
                  <c:v>0.13321223855018616</c:v>
                </c:pt>
                <c:pt idx="40">
                  <c:v>5.2083332091569901E-2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7-491B-A7FB-B00152A1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031535"/>
        <c:axId val="560849119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-570.98658415937075</c:v>
                </c:pt>
                <c:pt idx="1">
                  <c:v>-477.85771101338679</c:v>
                </c:pt>
                <c:pt idx="2">
                  <c:v>-478.23128050725052</c:v>
                </c:pt>
                <c:pt idx="3">
                  <c:v>-657.39322861271103</c:v>
                </c:pt>
                <c:pt idx="4">
                  <c:v>-765.20926587394467</c:v>
                </c:pt>
                <c:pt idx="5">
                  <c:v>-878.86532640097846</c:v>
                </c:pt>
                <c:pt idx="6">
                  <c:v>-323.26949052526368</c:v>
                </c:pt>
                <c:pt idx="7">
                  <c:v>-312.14173934549763</c:v>
                </c:pt>
                <c:pt idx="8">
                  <c:v>-1617.308967444435</c:v>
                </c:pt>
                <c:pt idx="9">
                  <c:v>-327.6218532035889</c:v>
                </c:pt>
                <c:pt idx="10">
                  <c:v>-237.25031747447389</c:v>
                </c:pt>
                <c:pt idx="11">
                  <c:v>-451.84935298230118</c:v>
                </c:pt>
                <c:pt idx="12">
                  <c:v>-521.38145415176189</c:v>
                </c:pt>
                <c:pt idx="13">
                  <c:v>-264.27936905042873</c:v>
                </c:pt>
                <c:pt idx="14">
                  <c:v>-542.66653071848987</c:v>
                </c:pt>
                <c:pt idx="15">
                  <c:v>-460.79558330974339</c:v>
                </c:pt>
                <c:pt idx="16">
                  <c:v>-277.17631207140602</c:v>
                </c:pt>
                <c:pt idx="17">
                  <c:v>-227.15663444183829</c:v>
                </c:pt>
                <c:pt idx="18">
                  <c:v>-192.09370490684219</c:v>
                </c:pt>
                <c:pt idx="19">
                  <c:v>-157.8816544783374</c:v>
                </c:pt>
                <c:pt idx="20">
                  <c:v>-170.94871072770491</c:v>
                </c:pt>
                <c:pt idx="21">
                  <c:v>-112.19230671867329</c:v>
                </c:pt>
                <c:pt idx="22">
                  <c:v>-122.6465698767076</c:v>
                </c:pt>
                <c:pt idx="23">
                  <c:v>-236.17846551307451</c:v>
                </c:pt>
                <c:pt idx="24">
                  <c:v>-164.14661493635549</c:v>
                </c:pt>
                <c:pt idx="25">
                  <c:v>-339.39865039036039</c:v>
                </c:pt>
                <c:pt idx="26">
                  <c:v>-262.77631016827468</c:v>
                </c:pt>
                <c:pt idx="27">
                  <c:v>-172.71928510029309</c:v>
                </c:pt>
                <c:pt idx="28">
                  <c:v>-169.64372800573011</c:v>
                </c:pt>
                <c:pt idx="29">
                  <c:v>-106.4675956504161</c:v>
                </c:pt>
                <c:pt idx="30">
                  <c:v>-147.38130939778631</c:v>
                </c:pt>
                <c:pt idx="31">
                  <c:v>-96.194451849755865</c:v>
                </c:pt>
                <c:pt idx="32">
                  <c:v>-165.2988382117332</c:v>
                </c:pt>
                <c:pt idx="33">
                  <c:v>-131.86076307709271</c:v>
                </c:pt>
                <c:pt idx="34">
                  <c:v>-140.49922932918511</c:v>
                </c:pt>
                <c:pt idx="35">
                  <c:v>-151.40318250185811</c:v>
                </c:pt>
                <c:pt idx="36">
                  <c:v>-214.83724799040661</c:v>
                </c:pt>
                <c:pt idx="37">
                  <c:v>-108.099791274328</c:v>
                </c:pt>
                <c:pt idx="38">
                  <c:v>-306.99137266079032</c:v>
                </c:pt>
                <c:pt idx="39">
                  <c:v>-119.324392494538</c:v>
                </c:pt>
                <c:pt idx="40">
                  <c:v>-67.523571472411675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7-491B-A7FB-B00152A1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028735"/>
        <c:axId val="566888623"/>
      </c:lineChart>
      <c:dateAx>
        <c:axId val="7620315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49119"/>
        <c:crosses val="autoZero"/>
        <c:auto val="1"/>
        <c:lblOffset val="100"/>
        <c:baseTimeUnit val="months"/>
      </c:dateAx>
      <c:valAx>
        <c:axId val="5608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31535"/>
        <c:crosses val="autoZero"/>
        <c:crossBetween val="between"/>
      </c:valAx>
      <c:valAx>
        <c:axId val="5668886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28735"/>
        <c:crosses val="max"/>
        <c:crossBetween val="between"/>
      </c:valAx>
      <c:dateAx>
        <c:axId val="76202873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688862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SAUDI</a:t>
            </a:r>
            <a:r>
              <a:rPr lang="en-US" baseline="0"/>
              <a:t> ARABIA         CORR= -0,81135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GPRC_SAU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0.31449213624000549</c:v>
                </c:pt>
                <c:pt idx="1">
                  <c:v>0.27381739020347595</c:v>
                </c:pt>
                <c:pt idx="2">
                  <c:v>0.24192875623703003</c:v>
                </c:pt>
                <c:pt idx="3">
                  <c:v>0.32679739594459534</c:v>
                </c:pt>
                <c:pt idx="4">
                  <c:v>0.58024585247039795</c:v>
                </c:pt>
                <c:pt idx="5">
                  <c:v>0.70756751298904419</c:v>
                </c:pt>
                <c:pt idx="6">
                  <c:v>0.33182904124259949</c:v>
                </c:pt>
                <c:pt idx="7">
                  <c:v>0.25219008326530457</c:v>
                </c:pt>
                <c:pt idx="8">
                  <c:v>0.90349441766738892</c:v>
                </c:pt>
                <c:pt idx="9">
                  <c:v>0.42041537165641785</c:v>
                </c:pt>
                <c:pt idx="10">
                  <c:v>0.11443661898374557</c:v>
                </c:pt>
                <c:pt idx="11">
                  <c:v>0.29608777165412903</c:v>
                </c:pt>
                <c:pt idx="12">
                  <c:v>0.80300021171569824</c:v>
                </c:pt>
                <c:pt idx="13">
                  <c:v>0.17833259701728821</c:v>
                </c:pt>
                <c:pt idx="14">
                  <c:v>8.1238240003585815E-2</c:v>
                </c:pt>
                <c:pt idx="15">
                  <c:v>0.13462698459625244</c:v>
                </c:pt>
                <c:pt idx="16">
                  <c:v>8.1110313534736633E-2</c:v>
                </c:pt>
                <c:pt idx="17">
                  <c:v>5.9985235333442688E-2</c:v>
                </c:pt>
                <c:pt idx="18">
                  <c:v>9.4513706862926483E-2</c:v>
                </c:pt>
                <c:pt idx="19">
                  <c:v>0.12912417948246002</c:v>
                </c:pt>
                <c:pt idx="20">
                  <c:v>0.10306506603956223</c:v>
                </c:pt>
                <c:pt idx="21">
                  <c:v>0.11389040946960449</c:v>
                </c:pt>
                <c:pt idx="22">
                  <c:v>0.13765887916088104</c:v>
                </c:pt>
                <c:pt idx="23">
                  <c:v>0.22190746665000916</c:v>
                </c:pt>
                <c:pt idx="24">
                  <c:v>0.20553576946258545</c:v>
                </c:pt>
                <c:pt idx="25">
                  <c:v>0.20014010369777679</c:v>
                </c:pt>
                <c:pt idx="26">
                  <c:v>0.23081099987030029</c:v>
                </c:pt>
                <c:pt idx="27">
                  <c:v>8.6776264011859894E-2</c:v>
                </c:pt>
                <c:pt idx="28">
                  <c:v>9.3945227563381195E-2</c:v>
                </c:pt>
                <c:pt idx="29">
                  <c:v>0.10601899027824402</c:v>
                </c:pt>
                <c:pt idx="30">
                  <c:v>6.499837338924408E-2</c:v>
                </c:pt>
                <c:pt idx="31">
                  <c:v>6.5006501972675323E-2</c:v>
                </c:pt>
                <c:pt idx="32">
                  <c:v>0.10117556154727936</c:v>
                </c:pt>
                <c:pt idx="33">
                  <c:v>0.10137314349412918</c:v>
                </c:pt>
                <c:pt idx="34">
                  <c:v>0.13164310157299042</c:v>
                </c:pt>
                <c:pt idx="35">
                  <c:v>0.15223017334938049</c:v>
                </c:pt>
                <c:pt idx="36">
                  <c:v>0.22531543672084808</c:v>
                </c:pt>
                <c:pt idx="37">
                  <c:v>0.17696350812911987</c:v>
                </c:pt>
                <c:pt idx="38">
                  <c:v>0.47320184111595154</c:v>
                </c:pt>
                <c:pt idx="39">
                  <c:v>0.13321223855018616</c:v>
                </c:pt>
                <c:pt idx="40">
                  <c:v>5.2083332091569901E-2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2-45D9-8CF7-745AABE1711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-0.8763826985869646</c:v>
                </c:pt>
                <c:pt idx="1">
                  <c:v>-0.54710570338251274</c:v>
                </c:pt>
                <c:pt idx="2">
                  <c:v>-0.54842653800967156</c:v>
                </c:pt>
                <c:pt idx="3">
                  <c:v>-1.1818918204110402</c:v>
                </c:pt>
                <c:pt idx="4">
                  <c:v>-1.5630984170868121</c:v>
                </c:pt>
                <c:pt idx="5">
                  <c:v>-1.9649536616837544</c:v>
                </c:pt>
                <c:pt idx="6">
                  <c:v>-5.2607649772701791E-4</c:v>
                </c:pt>
                <c:pt idx="7">
                  <c:v>3.8818461324742794E-2</c:v>
                </c:pt>
                <c:pt idx="8">
                  <c:v>-4.575878663100565</c:v>
                </c:pt>
                <c:pt idx="9">
                  <c:v>-1.591478309694061E-2</c:v>
                </c:pt>
                <c:pt idx="10">
                  <c:v>0.30361305753577927</c:v>
                </c:pt>
                <c:pt idx="11">
                  <c:v>-0.45514760603441068</c:v>
                </c:pt>
                <c:pt idx="12">
                  <c:v>-0.70099318077300399</c:v>
                </c:pt>
                <c:pt idx="13">
                  <c:v>0.20804608044796125</c:v>
                </c:pt>
                <c:pt idx="14">
                  <c:v>-0.77625110903766181</c:v>
                </c:pt>
                <c:pt idx="15">
                  <c:v>-0.48677891156958503</c:v>
                </c:pt>
                <c:pt idx="16">
                  <c:v>0.16244618750591333</c:v>
                </c:pt>
                <c:pt idx="17">
                  <c:v>0.33930142685946346</c:v>
                </c:pt>
                <c:pt idx="18">
                  <c:v>0.46327389308109324</c:v>
                </c:pt>
                <c:pt idx="19">
                  <c:v>0.58423789473096222</c:v>
                </c:pt>
                <c:pt idx="20">
                  <c:v>0.53803653018513942</c:v>
                </c:pt>
                <c:pt idx="21">
                  <c:v>0.74578232917902587</c:v>
                </c:pt>
                <c:pt idx="22">
                  <c:v>0.70881905191099659</c:v>
                </c:pt>
                <c:pt idx="23">
                  <c:v>0.30740281876912245</c:v>
                </c:pt>
                <c:pt idx="24">
                  <c:v>0.56208679072847734</c:v>
                </c:pt>
                <c:pt idx="25">
                  <c:v>-5.755416151735461E-2</c:v>
                </c:pt>
                <c:pt idx="26">
                  <c:v>0.21336046572518061</c:v>
                </c:pt>
                <c:pt idx="27">
                  <c:v>0.53177628683098699</c:v>
                </c:pt>
                <c:pt idx="28">
                  <c:v>0.54265057494880808</c:v>
                </c:pt>
                <c:pt idx="29">
                  <c:v>0.76602326622992889</c:v>
                </c:pt>
                <c:pt idx="30">
                  <c:v>0.62136410446522872</c:v>
                </c:pt>
                <c:pt idx="31">
                  <c:v>0.80234615737757642</c:v>
                </c:pt>
                <c:pt idx="32">
                  <c:v>0.55801285957152802</c:v>
                </c:pt>
                <c:pt idx="33">
                  <c:v>0.67624030648260369</c:v>
                </c:pt>
                <c:pt idx="34">
                  <c:v>0.64569716648127196</c:v>
                </c:pt>
                <c:pt idx="35">
                  <c:v>0.60714391424853364</c:v>
                </c:pt>
                <c:pt idx="36">
                  <c:v>0.38285924535825616</c:v>
                </c:pt>
                <c:pt idx="37">
                  <c:v>0.76025229045762366</c:v>
                </c:pt>
                <c:pt idx="38">
                  <c:v>5.7028681301131173E-2</c:v>
                </c:pt>
                <c:pt idx="39">
                  <c:v>0.72056531865925</c:v>
                </c:pt>
                <c:pt idx="40">
                  <c:v>0.90371817039140823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2-45D9-8CF7-745AABE1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409295"/>
        <c:axId val="767928559"/>
      </c:lineChart>
      <c:dateAx>
        <c:axId val="9174092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28559"/>
        <c:crosses val="autoZero"/>
        <c:auto val="1"/>
        <c:lblOffset val="100"/>
        <c:baseTimeUnit val="months"/>
      </c:dateAx>
      <c:valAx>
        <c:axId val="7679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SAUDI ARABIA    CORR=0.8113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-0.8763826985869646</c:v>
                </c:pt>
                <c:pt idx="1">
                  <c:v>-0.54710570338251274</c:v>
                </c:pt>
                <c:pt idx="2">
                  <c:v>-0.54842653800967156</c:v>
                </c:pt>
                <c:pt idx="3">
                  <c:v>-1.1818918204110402</c:v>
                </c:pt>
                <c:pt idx="4">
                  <c:v>-1.5630984170868121</c:v>
                </c:pt>
                <c:pt idx="5">
                  <c:v>-1.9649536616837544</c:v>
                </c:pt>
                <c:pt idx="6">
                  <c:v>-5.2607649772701791E-4</c:v>
                </c:pt>
                <c:pt idx="7">
                  <c:v>3.8818461324742794E-2</c:v>
                </c:pt>
                <c:pt idx="8">
                  <c:v>-4.575878663100565</c:v>
                </c:pt>
                <c:pt idx="9">
                  <c:v>-1.591478309694061E-2</c:v>
                </c:pt>
                <c:pt idx="10">
                  <c:v>0.30361305753577927</c:v>
                </c:pt>
                <c:pt idx="11">
                  <c:v>-0.45514760603441068</c:v>
                </c:pt>
                <c:pt idx="12">
                  <c:v>-0.70099318077300399</c:v>
                </c:pt>
                <c:pt idx="13">
                  <c:v>0.20804608044796125</c:v>
                </c:pt>
                <c:pt idx="14">
                  <c:v>-0.77625110903766181</c:v>
                </c:pt>
                <c:pt idx="15">
                  <c:v>-0.48677891156958503</c:v>
                </c:pt>
                <c:pt idx="16">
                  <c:v>0.16244618750591333</c:v>
                </c:pt>
                <c:pt idx="17">
                  <c:v>0.33930142685946346</c:v>
                </c:pt>
                <c:pt idx="18">
                  <c:v>0.46327389308109324</c:v>
                </c:pt>
                <c:pt idx="19">
                  <c:v>0.58423789473096222</c:v>
                </c:pt>
                <c:pt idx="20">
                  <c:v>0.53803653018513942</c:v>
                </c:pt>
                <c:pt idx="21">
                  <c:v>0.74578232917902587</c:v>
                </c:pt>
                <c:pt idx="22">
                  <c:v>0.70881905191099659</c:v>
                </c:pt>
                <c:pt idx="23">
                  <c:v>0.30740281876912245</c:v>
                </c:pt>
                <c:pt idx="24">
                  <c:v>0.56208679072847734</c:v>
                </c:pt>
                <c:pt idx="25">
                  <c:v>-5.755416151735461E-2</c:v>
                </c:pt>
                <c:pt idx="26">
                  <c:v>0.21336046572518061</c:v>
                </c:pt>
                <c:pt idx="27">
                  <c:v>0.53177628683098699</c:v>
                </c:pt>
                <c:pt idx="28">
                  <c:v>0.54265057494880808</c:v>
                </c:pt>
                <c:pt idx="29">
                  <c:v>0.76602326622992889</c:v>
                </c:pt>
                <c:pt idx="30">
                  <c:v>0.62136410446522872</c:v>
                </c:pt>
                <c:pt idx="31">
                  <c:v>0.80234615737757642</c:v>
                </c:pt>
                <c:pt idx="32">
                  <c:v>0.55801285957152802</c:v>
                </c:pt>
                <c:pt idx="33">
                  <c:v>0.67624030648260369</c:v>
                </c:pt>
                <c:pt idx="34">
                  <c:v>0.64569716648127196</c:v>
                </c:pt>
                <c:pt idx="35">
                  <c:v>0.60714391424853364</c:v>
                </c:pt>
                <c:pt idx="36">
                  <c:v>0.38285924535825616</c:v>
                </c:pt>
                <c:pt idx="37">
                  <c:v>0.76025229045762366</c:v>
                </c:pt>
                <c:pt idx="38">
                  <c:v>5.7028681301131173E-2</c:v>
                </c:pt>
                <c:pt idx="39">
                  <c:v>0.72056531865925</c:v>
                </c:pt>
                <c:pt idx="40">
                  <c:v>0.90371817039140823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4-4665-A20F-AA9589118C9E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 -GPRC_SAU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Sheet1!$E$2:$E$42</c:f>
              <c:numCache>
                <c:formatCode>#,##0.00</c:formatCode>
                <c:ptCount val="41"/>
                <c:pt idx="0">
                  <c:v>-0.31449213624000549</c:v>
                </c:pt>
                <c:pt idx="1">
                  <c:v>-0.27381739020347595</c:v>
                </c:pt>
                <c:pt idx="2">
                  <c:v>-0.24192875623703003</c:v>
                </c:pt>
                <c:pt idx="3">
                  <c:v>-0.32679739594459534</c:v>
                </c:pt>
                <c:pt idx="4">
                  <c:v>-0.58024585247039795</c:v>
                </c:pt>
                <c:pt idx="5">
                  <c:v>-0.70756751298904419</c:v>
                </c:pt>
                <c:pt idx="6">
                  <c:v>-0.33182904124259949</c:v>
                </c:pt>
                <c:pt idx="7">
                  <c:v>-0.25219008326530457</c:v>
                </c:pt>
                <c:pt idx="8">
                  <c:v>-0.90349441766738892</c:v>
                </c:pt>
                <c:pt idx="9">
                  <c:v>-0.42041537165641785</c:v>
                </c:pt>
                <c:pt idx="10">
                  <c:v>-0.11443661898374557</c:v>
                </c:pt>
                <c:pt idx="11">
                  <c:v>-0.29608777165412903</c:v>
                </c:pt>
                <c:pt idx="12">
                  <c:v>-0.80300021171569824</c:v>
                </c:pt>
                <c:pt idx="13">
                  <c:v>-0.17833259701728821</c:v>
                </c:pt>
                <c:pt idx="14">
                  <c:v>-8.1238240003585815E-2</c:v>
                </c:pt>
                <c:pt idx="15">
                  <c:v>-0.13462698459625244</c:v>
                </c:pt>
                <c:pt idx="16">
                  <c:v>-8.1110313534736633E-2</c:v>
                </c:pt>
                <c:pt idx="17">
                  <c:v>-5.9985235333442688E-2</c:v>
                </c:pt>
                <c:pt idx="18">
                  <c:v>-9.4513706862926483E-2</c:v>
                </c:pt>
                <c:pt idx="19">
                  <c:v>-0.12912417948246002</c:v>
                </c:pt>
                <c:pt idx="20">
                  <c:v>-0.10306506603956223</c:v>
                </c:pt>
                <c:pt idx="21">
                  <c:v>-0.11389040946960449</c:v>
                </c:pt>
                <c:pt idx="22">
                  <c:v>-0.13765887916088104</c:v>
                </c:pt>
                <c:pt idx="23">
                  <c:v>-0.22190746665000916</c:v>
                </c:pt>
                <c:pt idx="24">
                  <c:v>-0.20553576946258545</c:v>
                </c:pt>
                <c:pt idx="25">
                  <c:v>-0.20014010369777679</c:v>
                </c:pt>
                <c:pt idx="26">
                  <c:v>-0.23081099987030029</c:v>
                </c:pt>
                <c:pt idx="27">
                  <c:v>-8.6776264011859894E-2</c:v>
                </c:pt>
                <c:pt idx="28">
                  <c:v>-9.3945227563381195E-2</c:v>
                </c:pt>
                <c:pt idx="29">
                  <c:v>-0.10601899027824402</c:v>
                </c:pt>
                <c:pt idx="30">
                  <c:v>-6.499837338924408E-2</c:v>
                </c:pt>
                <c:pt idx="31">
                  <c:v>-6.5006501972675323E-2</c:v>
                </c:pt>
                <c:pt idx="32">
                  <c:v>-0.10117556154727936</c:v>
                </c:pt>
                <c:pt idx="33">
                  <c:v>-0.10137314349412918</c:v>
                </c:pt>
                <c:pt idx="34">
                  <c:v>-0.13164310157299042</c:v>
                </c:pt>
                <c:pt idx="35">
                  <c:v>-0.15223017334938049</c:v>
                </c:pt>
                <c:pt idx="36">
                  <c:v>-0.22531543672084808</c:v>
                </c:pt>
                <c:pt idx="37">
                  <c:v>-0.17696350812911987</c:v>
                </c:pt>
                <c:pt idx="38">
                  <c:v>-0.47320184111595154</c:v>
                </c:pt>
                <c:pt idx="39">
                  <c:v>-0.13321223855018616</c:v>
                </c:pt>
                <c:pt idx="40">
                  <c:v>-5.2083332091569901E-2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4-4665-A20F-AA9589118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588192"/>
        <c:axId val="534122640"/>
      </c:lineChart>
      <c:dateAx>
        <c:axId val="645588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22640"/>
        <c:crosses val="autoZero"/>
        <c:auto val="1"/>
        <c:lblOffset val="100"/>
        <c:baseTimeUnit val="months"/>
      </c:dateAx>
      <c:valAx>
        <c:axId val="53412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8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21</xdr:row>
      <xdr:rowOff>164306</xdr:rowOff>
    </xdr:from>
    <xdr:to>
      <xdr:col>13</xdr:col>
      <xdr:colOff>159543</xdr:colOff>
      <xdr:row>37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89CE0-777A-478C-8CE1-EC23A3EB0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121443</xdr:colOff>
      <xdr:row>6</xdr:row>
      <xdr:rowOff>164306</xdr:rowOff>
    </xdr:from>
    <xdr:to>
      <xdr:col>13</xdr:col>
      <xdr:colOff>159543</xdr:colOff>
      <xdr:row>22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0283C-CF79-4820-8915-E9D4D3B74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102393</xdr:colOff>
      <xdr:row>6</xdr:row>
      <xdr:rowOff>88106</xdr:rowOff>
    </xdr:from>
    <xdr:to>
      <xdr:col>15</xdr:col>
      <xdr:colOff>140493</xdr:colOff>
      <xdr:row>21</xdr:row>
      <xdr:rowOff>116681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614D6D-773E-47D9-961A-F5B929CC0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E1" sqref="E1"/>
    </sheetView>
  </sheetViews>
  <sheetFormatPr defaultRowHeight="14.25" x14ac:dyDescent="0.45"/>
  <sheetData>
    <row r="1" spans="1:7" x14ac:dyDescent="0.45">
      <c r="A1" t="s">
        <v>5</v>
      </c>
      <c r="B1" t="s">
        <v>6</v>
      </c>
      <c r="C1" s="1" t="s">
        <v>0</v>
      </c>
      <c r="D1" t="s">
        <v>9</v>
      </c>
      <c r="E1" t="s">
        <v>10</v>
      </c>
    </row>
    <row r="2" spans="1:7" x14ac:dyDescent="0.45">
      <c r="A2" s="2">
        <v>43466</v>
      </c>
      <c r="B2" s="3">
        <v>0.31449213624000549</v>
      </c>
      <c r="C2">
        <v>-570.98658415937075</v>
      </c>
      <c r="D2">
        <f>STANDARDIZE(C2,$G$2,$G$3)</f>
        <v>-0.8763826985869646</v>
      </c>
      <c r="E2" s="3">
        <f>-B2</f>
        <v>-0.31449213624000549</v>
      </c>
      <c r="F2" t="s">
        <v>7</v>
      </c>
      <c r="G2">
        <f>AVERAGE(C2:C42)</f>
        <v>-323.12070117120788</v>
      </c>
    </row>
    <row r="3" spans="1:7" x14ac:dyDescent="0.45">
      <c r="A3" s="2">
        <v>43497</v>
      </c>
      <c r="B3" s="3">
        <v>0.27381739020347595</v>
      </c>
      <c r="C3">
        <v>-477.85771101338679</v>
      </c>
      <c r="D3">
        <f t="shared" ref="D3:D42" si="0">STANDARDIZE(C3,$G$2,$G$3)</f>
        <v>-0.54710570338251274</v>
      </c>
      <c r="E3" s="3">
        <f t="shared" ref="E3:E42" si="1">-B3</f>
        <v>-0.27381739020347595</v>
      </c>
      <c r="F3" t="s">
        <v>8</v>
      </c>
      <c r="G3">
        <f>STDEV(C2:C42)</f>
        <v>282.82836184216023</v>
      </c>
    </row>
    <row r="4" spans="1:7" x14ac:dyDescent="0.45">
      <c r="A4" s="2">
        <v>43525</v>
      </c>
      <c r="B4" s="3">
        <v>0.24192875623703003</v>
      </c>
      <c r="C4">
        <v>-478.23128050725052</v>
      </c>
      <c r="D4">
        <f t="shared" si="0"/>
        <v>-0.54842653800967156</v>
      </c>
      <c r="E4" s="3">
        <f t="shared" si="1"/>
        <v>-0.24192875623703003</v>
      </c>
      <c r="F4" t="s">
        <v>2</v>
      </c>
      <c r="G4">
        <f>CORREL(B2:B42,C2:C42)</f>
        <v>-0.81135275803007834</v>
      </c>
    </row>
    <row r="5" spans="1:7" x14ac:dyDescent="0.45">
      <c r="A5" s="2">
        <v>43556</v>
      </c>
      <c r="B5" s="3">
        <v>0.32679739594459534</v>
      </c>
      <c r="C5">
        <v>-657.39322861271103</v>
      </c>
      <c r="D5">
        <f t="shared" si="0"/>
        <v>-1.1818918204110402</v>
      </c>
      <c r="E5" s="3">
        <f t="shared" si="1"/>
        <v>-0.32679739594459534</v>
      </c>
    </row>
    <row r="6" spans="1:7" x14ac:dyDescent="0.45">
      <c r="A6" s="2">
        <v>43586</v>
      </c>
      <c r="B6" s="3">
        <v>0.58024585247039795</v>
      </c>
      <c r="C6">
        <v>-765.20926587394467</v>
      </c>
      <c r="D6">
        <f t="shared" si="0"/>
        <v>-1.5630984170868121</v>
      </c>
      <c r="E6" s="3">
        <f t="shared" si="1"/>
        <v>-0.58024585247039795</v>
      </c>
    </row>
    <row r="7" spans="1:7" x14ac:dyDescent="0.45">
      <c r="A7" s="2">
        <v>43617</v>
      </c>
      <c r="B7" s="3">
        <v>0.70756751298904419</v>
      </c>
      <c r="C7">
        <v>-878.86532640097846</v>
      </c>
      <c r="D7">
        <f t="shared" si="0"/>
        <v>-1.9649536616837544</v>
      </c>
      <c r="E7" s="3">
        <f t="shared" si="1"/>
        <v>-0.70756751298904419</v>
      </c>
    </row>
    <row r="8" spans="1:7" x14ac:dyDescent="0.45">
      <c r="A8" s="2">
        <v>43647</v>
      </c>
      <c r="B8" s="3">
        <v>0.33182904124259949</v>
      </c>
      <c r="C8">
        <v>-323.26949052526368</v>
      </c>
      <c r="D8">
        <f t="shared" si="0"/>
        <v>-5.2607649772701791E-4</v>
      </c>
      <c r="E8" s="3">
        <f t="shared" si="1"/>
        <v>-0.33182904124259949</v>
      </c>
    </row>
    <row r="9" spans="1:7" x14ac:dyDescent="0.45">
      <c r="A9" s="2">
        <v>43678</v>
      </c>
      <c r="B9" s="3">
        <v>0.25219008326530457</v>
      </c>
      <c r="C9">
        <v>-312.14173934549763</v>
      </c>
      <c r="D9">
        <f t="shared" si="0"/>
        <v>3.8818461324742794E-2</v>
      </c>
      <c r="E9" s="3">
        <f t="shared" si="1"/>
        <v>-0.25219008326530457</v>
      </c>
    </row>
    <row r="10" spans="1:7" x14ac:dyDescent="0.45">
      <c r="A10" s="2">
        <v>43709</v>
      </c>
      <c r="B10" s="3">
        <v>0.90349441766738892</v>
      </c>
      <c r="C10">
        <v>-1617.308967444435</v>
      </c>
      <c r="D10">
        <f t="shared" si="0"/>
        <v>-4.575878663100565</v>
      </c>
      <c r="E10" s="3">
        <f t="shared" si="1"/>
        <v>-0.90349441766738892</v>
      </c>
    </row>
    <row r="11" spans="1:7" x14ac:dyDescent="0.45">
      <c r="A11" s="2">
        <v>43739</v>
      </c>
      <c r="B11" s="3">
        <v>0.42041537165641785</v>
      </c>
      <c r="C11">
        <v>-327.6218532035889</v>
      </c>
      <c r="D11">
        <f t="shared" si="0"/>
        <v>-1.591478309694061E-2</v>
      </c>
      <c r="E11" s="3">
        <f t="shared" si="1"/>
        <v>-0.42041537165641785</v>
      </c>
    </row>
    <row r="12" spans="1:7" x14ac:dyDescent="0.45">
      <c r="A12" s="2">
        <v>43770</v>
      </c>
      <c r="B12" s="3">
        <v>0.11443661898374557</v>
      </c>
      <c r="C12">
        <v>-237.25031747447389</v>
      </c>
      <c r="D12">
        <f t="shared" si="0"/>
        <v>0.30361305753577927</v>
      </c>
      <c r="E12" s="3">
        <f t="shared" si="1"/>
        <v>-0.11443661898374557</v>
      </c>
    </row>
    <row r="13" spans="1:7" x14ac:dyDescent="0.45">
      <c r="A13" s="2">
        <v>43800</v>
      </c>
      <c r="B13" s="3">
        <v>0.29608777165412903</v>
      </c>
      <c r="C13">
        <v>-451.84935298230118</v>
      </c>
      <c r="D13">
        <f t="shared" si="0"/>
        <v>-0.45514760603441068</v>
      </c>
      <c r="E13" s="3">
        <f t="shared" si="1"/>
        <v>-0.29608777165412903</v>
      </c>
    </row>
    <row r="14" spans="1:7" x14ac:dyDescent="0.45">
      <c r="A14" s="2">
        <v>43831</v>
      </c>
      <c r="B14" s="3">
        <v>0.80300021171569824</v>
      </c>
      <c r="C14">
        <v>-521.38145415176189</v>
      </c>
      <c r="D14">
        <f t="shared" si="0"/>
        <v>-0.70099318077300399</v>
      </c>
      <c r="E14" s="3">
        <f t="shared" si="1"/>
        <v>-0.80300021171569824</v>
      </c>
    </row>
    <row r="15" spans="1:7" x14ac:dyDescent="0.45">
      <c r="A15" s="2">
        <v>43862</v>
      </c>
      <c r="B15" s="3">
        <v>0.17833259701728821</v>
      </c>
      <c r="C15">
        <v>-264.27936905042873</v>
      </c>
      <c r="D15">
        <f t="shared" si="0"/>
        <v>0.20804608044796125</v>
      </c>
      <c r="E15" s="3">
        <f t="shared" si="1"/>
        <v>-0.17833259701728821</v>
      </c>
    </row>
    <row r="16" spans="1:7" x14ac:dyDescent="0.45">
      <c r="A16" s="2">
        <v>43891</v>
      </c>
      <c r="B16" s="3">
        <v>8.1238240003585815E-2</v>
      </c>
      <c r="C16">
        <v>-542.66653071848987</v>
      </c>
      <c r="D16">
        <f t="shared" si="0"/>
        <v>-0.77625110903766181</v>
      </c>
      <c r="E16" s="3">
        <f t="shared" si="1"/>
        <v>-8.1238240003585815E-2</v>
      </c>
    </row>
    <row r="17" spans="1:5" x14ac:dyDescent="0.45">
      <c r="A17" s="2">
        <v>43922</v>
      </c>
      <c r="B17" s="3">
        <v>0.13462698459625244</v>
      </c>
      <c r="C17">
        <v>-460.79558330974339</v>
      </c>
      <c r="D17">
        <f t="shared" si="0"/>
        <v>-0.48677891156958503</v>
      </c>
      <c r="E17" s="3">
        <f t="shared" si="1"/>
        <v>-0.13462698459625244</v>
      </c>
    </row>
    <row r="18" spans="1:5" x14ac:dyDescent="0.45">
      <c r="A18" s="2">
        <v>43952</v>
      </c>
      <c r="B18" s="3">
        <v>8.1110313534736633E-2</v>
      </c>
      <c r="C18">
        <v>-277.17631207140602</v>
      </c>
      <c r="D18">
        <f t="shared" si="0"/>
        <v>0.16244618750591333</v>
      </c>
      <c r="E18" s="3">
        <f t="shared" si="1"/>
        <v>-8.1110313534736633E-2</v>
      </c>
    </row>
    <row r="19" spans="1:5" x14ac:dyDescent="0.45">
      <c r="A19" s="2">
        <v>43983</v>
      </c>
      <c r="B19" s="3">
        <v>5.9985235333442688E-2</v>
      </c>
      <c r="C19">
        <v>-227.15663444183829</v>
      </c>
      <c r="D19">
        <f t="shared" si="0"/>
        <v>0.33930142685946346</v>
      </c>
      <c r="E19" s="3">
        <f t="shared" si="1"/>
        <v>-5.9985235333442688E-2</v>
      </c>
    </row>
    <row r="20" spans="1:5" x14ac:dyDescent="0.45">
      <c r="A20" s="2">
        <v>44013</v>
      </c>
      <c r="B20" s="3">
        <v>9.4513706862926483E-2</v>
      </c>
      <c r="C20">
        <v>-192.09370490684219</v>
      </c>
      <c r="D20">
        <f t="shared" si="0"/>
        <v>0.46327389308109324</v>
      </c>
      <c r="E20" s="3">
        <f t="shared" si="1"/>
        <v>-9.4513706862926483E-2</v>
      </c>
    </row>
    <row r="21" spans="1:5" x14ac:dyDescent="0.45">
      <c r="A21" s="2">
        <v>44044</v>
      </c>
      <c r="B21" s="3">
        <v>0.12912417948246002</v>
      </c>
      <c r="C21">
        <v>-157.8816544783374</v>
      </c>
      <c r="D21">
        <f t="shared" si="0"/>
        <v>0.58423789473096222</v>
      </c>
      <c r="E21" s="3">
        <f t="shared" si="1"/>
        <v>-0.12912417948246002</v>
      </c>
    </row>
    <row r="22" spans="1:5" x14ac:dyDescent="0.45">
      <c r="A22" s="2">
        <v>44075</v>
      </c>
      <c r="B22" s="3">
        <v>0.10306506603956223</v>
      </c>
      <c r="C22">
        <v>-170.94871072770491</v>
      </c>
      <c r="D22">
        <f t="shared" si="0"/>
        <v>0.53803653018513942</v>
      </c>
      <c r="E22" s="3">
        <f t="shared" si="1"/>
        <v>-0.10306506603956223</v>
      </c>
    </row>
    <row r="23" spans="1:5" x14ac:dyDescent="0.45">
      <c r="A23" s="2">
        <v>44105</v>
      </c>
      <c r="B23" s="3">
        <v>0.11389040946960449</v>
      </c>
      <c r="C23">
        <v>-112.19230671867329</v>
      </c>
      <c r="D23">
        <f t="shared" si="0"/>
        <v>0.74578232917902587</v>
      </c>
      <c r="E23" s="3">
        <f t="shared" si="1"/>
        <v>-0.11389040946960449</v>
      </c>
    </row>
    <row r="24" spans="1:5" x14ac:dyDescent="0.45">
      <c r="A24" s="2">
        <v>44136</v>
      </c>
      <c r="B24" s="3">
        <v>0.13765887916088104</v>
      </c>
      <c r="C24">
        <v>-122.6465698767076</v>
      </c>
      <c r="D24">
        <f t="shared" si="0"/>
        <v>0.70881905191099659</v>
      </c>
      <c r="E24" s="3">
        <f t="shared" si="1"/>
        <v>-0.13765887916088104</v>
      </c>
    </row>
    <row r="25" spans="1:5" x14ac:dyDescent="0.45">
      <c r="A25" s="2">
        <v>44166</v>
      </c>
      <c r="B25" s="3">
        <v>0.22190746665000916</v>
      </c>
      <c r="C25">
        <v>-236.17846551307451</v>
      </c>
      <c r="D25">
        <f t="shared" si="0"/>
        <v>0.30740281876912245</v>
      </c>
      <c r="E25" s="3">
        <f t="shared" si="1"/>
        <v>-0.22190746665000916</v>
      </c>
    </row>
    <row r="26" spans="1:5" x14ac:dyDescent="0.45">
      <c r="A26" s="2">
        <v>44197</v>
      </c>
      <c r="B26" s="3">
        <v>0.20553576946258545</v>
      </c>
      <c r="C26">
        <v>-164.14661493635549</v>
      </c>
      <c r="D26">
        <f t="shared" si="0"/>
        <v>0.56208679072847734</v>
      </c>
      <c r="E26" s="3">
        <f t="shared" si="1"/>
        <v>-0.20553576946258545</v>
      </c>
    </row>
    <row r="27" spans="1:5" x14ac:dyDescent="0.45">
      <c r="A27" s="2">
        <v>44228</v>
      </c>
      <c r="B27" s="3">
        <v>0.20014010369777679</v>
      </c>
      <c r="C27">
        <v>-339.39865039036039</v>
      </c>
      <c r="D27">
        <f t="shared" si="0"/>
        <v>-5.755416151735461E-2</v>
      </c>
      <c r="E27" s="3">
        <f t="shared" si="1"/>
        <v>-0.20014010369777679</v>
      </c>
    </row>
    <row r="28" spans="1:5" x14ac:dyDescent="0.45">
      <c r="A28" s="2">
        <v>44256</v>
      </c>
      <c r="B28" s="3">
        <v>0.23081099987030029</v>
      </c>
      <c r="C28">
        <v>-262.77631016827468</v>
      </c>
      <c r="D28">
        <f t="shared" si="0"/>
        <v>0.21336046572518061</v>
      </c>
      <c r="E28" s="3">
        <f t="shared" si="1"/>
        <v>-0.23081099987030029</v>
      </c>
    </row>
    <row r="29" spans="1:5" x14ac:dyDescent="0.45">
      <c r="A29" s="2">
        <v>44287</v>
      </c>
      <c r="B29" s="3">
        <v>8.6776264011859894E-2</v>
      </c>
      <c r="C29">
        <v>-172.71928510029309</v>
      </c>
      <c r="D29">
        <f t="shared" si="0"/>
        <v>0.53177628683098699</v>
      </c>
      <c r="E29" s="3">
        <f t="shared" si="1"/>
        <v>-8.6776264011859894E-2</v>
      </c>
    </row>
    <row r="30" spans="1:5" x14ac:dyDescent="0.45">
      <c r="A30" s="2">
        <v>44317</v>
      </c>
      <c r="B30" s="3">
        <v>9.3945227563381195E-2</v>
      </c>
      <c r="C30">
        <v>-169.64372800573011</v>
      </c>
      <c r="D30">
        <f t="shared" si="0"/>
        <v>0.54265057494880808</v>
      </c>
      <c r="E30" s="3">
        <f t="shared" si="1"/>
        <v>-9.3945227563381195E-2</v>
      </c>
    </row>
    <row r="31" spans="1:5" x14ac:dyDescent="0.45">
      <c r="A31" s="2">
        <v>44348</v>
      </c>
      <c r="B31" s="3">
        <v>0.10601899027824402</v>
      </c>
      <c r="C31">
        <v>-106.4675956504161</v>
      </c>
      <c r="D31">
        <f t="shared" si="0"/>
        <v>0.76602326622992889</v>
      </c>
      <c r="E31" s="3">
        <f t="shared" si="1"/>
        <v>-0.10601899027824402</v>
      </c>
    </row>
    <row r="32" spans="1:5" x14ac:dyDescent="0.45">
      <c r="A32" s="2">
        <v>44378</v>
      </c>
      <c r="B32" s="3">
        <v>6.499837338924408E-2</v>
      </c>
      <c r="C32">
        <v>-147.38130939778631</v>
      </c>
      <c r="D32">
        <f t="shared" si="0"/>
        <v>0.62136410446522872</v>
      </c>
      <c r="E32" s="3">
        <f t="shared" si="1"/>
        <v>-6.499837338924408E-2</v>
      </c>
    </row>
    <row r="33" spans="1:5" x14ac:dyDescent="0.45">
      <c r="A33" s="2">
        <v>44409</v>
      </c>
      <c r="B33" s="3">
        <v>6.5006501972675323E-2</v>
      </c>
      <c r="C33">
        <v>-96.194451849755865</v>
      </c>
      <c r="D33">
        <f t="shared" si="0"/>
        <v>0.80234615737757642</v>
      </c>
      <c r="E33" s="3">
        <f t="shared" si="1"/>
        <v>-6.5006501972675323E-2</v>
      </c>
    </row>
    <row r="34" spans="1:5" x14ac:dyDescent="0.45">
      <c r="A34" s="2">
        <v>44440</v>
      </c>
      <c r="B34" s="3">
        <v>0.10117556154727936</v>
      </c>
      <c r="C34">
        <v>-165.2988382117332</v>
      </c>
      <c r="D34">
        <f t="shared" si="0"/>
        <v>0.55801285957152802</v>
      </c>
      <c r="E34" s="3">
        <f t="shared" si="1"/>
        <v>-0.10117556154727936</v>
      </c>
    </row>
    <row r="35" spans="1:5" x14ac:dyDescent="0.45">
      <c r="A35" s="2">
        <v>44470</v>
      </c>
      <c r="B35" s="3">
        <v>0.10137314349412918</v>
      </c>
      <c r="C35">
        <v>-131.86076307709271</v>
      </c>
      <c r="D35">
        <f t="shared" si="0"/>
        <v>0.67624030648260369</v>
      </c>
      <c r="E35" s="3">
        <f t="shared" si="1"/>
        <v>-0.10137314349412918</v>
      </c>
    </row>
    <row r="36" spans="1:5" x14ac:dyDescent="0.45">
      <c r="A36" s="2">
        <v>44501</v>
      </c>
      <c r="B36" s="3">
        <v>0.13164310157299042</v>
      </c>
      <c r="C36">
        <v>-140.49922932918511</v>
      </c>
      <c r="D36">
        <f t="shared" si="0"/>
        <v>0.64569716648127196</v>
      </c>
      <c r="E36" s="3">
        <f t="shared" si="1"/>
        <v>-0.13164310157299042</v>
      </c>
    </row>
    <row r="37" spans="1:5" x14ac:dyDescent="0.45">
      <c r="A37" s="2">
        <v>44531</v>
      </c>
      <c r="B37" s="3">
        <v>0.15223017334938049</v>
      </c>
      <c r="C37">
        <v>-151.40318250185811</v>
      </c>
      <c r="D37">
        <f t="shared" si="0"/>
        <v>0.60714391424853364</v>
      </c>
      <c r="E37" s="3">
        <f t="shared" si="1"/>
        <v>-0.15223017334938049</v>
      </c>
    </row>
    <row r="38" spans="1:5" x14ac:dyDescent="0.45">
      <c r="A38" s="2">
        <v>44562</v>
      </c>
      <c r="B38" s="3">
        <v>0.22531543672084808</v>
      </c>
      <c r="C38">
        <v>-214.83724799040661</v>
      </c>
      <c r="D38">
        <f t="shared" si="0"/>
        <v>0.38285924535825616</v>
      </c>
      <c r="E38" s="3">
        <f t="shared" si="1"/>
        <v>-0.22531543672084808</v>
      </c>
    </row>
    <row r="39" spans="1:5" x14ac:dyDescent="0.45">
      <c r="A39" s="2">
        <v>44593</v>
      </c>
      <c r="B39" s="3">
        <v>0.17696350812911987</v>
      </c>
      <c r="C39">
        <v>-108.099791274328</v>
      </c>
      <c r="D39">
        <f t="shared" si="0"/>
        <v>0.76025229045762366</v>
      </c>
      <c r="E39" s="3">
        <f t="shared" si="1"/>
        <v>-0.17696350812911987</v>
      </c>
    </row>
    <row r="40" spans="1:5" x14ac:dyDescent="0.45">
      <c r="A40" s="2">
        <v>44621</v>
      </c>
      <c r="B40" s="3">
        <v>0.47320184111595154</v>
      </c>
      <c r="C40">
        <v>-306.99137266079032</v>
      </c>
      <c r="D40">
        <f t="shared" si="0"/>
        <v>5.7028681301131173E-2</v>
      </c>
      <c r="E40" s="3">
        <f t="shared" si="1"/>
        <v>-0.47320184111595154</v>
      </c>
    </row>
    <row r="41" spans="1:5" x14ac:dyDescent="0.45">
      <c r="A41" s="2">
        <v>44652</v>
      </c>
      <c r="B41" s="3">
        <v>0.13321223855018616</v>
      </c>
      <c r="C41">
        <v>-119.324392494538</v>
      </c>
      <c r="D41">
        <f t="shared" si="0"/>
        <v>0.72056531865925</v>
      </c>
      <c r="E41" s="3">
        <f t="shared" si="1"/>
        <v>-0.13321223855018616</v>
      </c>
    </row>
    <row r="42" spans="1:5" x14ac:dyDescent="0.45">
      <c r="A42" s="2">
        <v>44682</v>
      </c>
      <c r="B42" s="3">
        <v>5.2083332091569901E-2</v>
      </c>
      <c r="C42">
        <v>-67.523571472411675</v>
      </c>
      <c r="D42">
        <f t="shared" si="0"/>
        <v>0.90371817039140823</v>
      </c>
      <c r="E42" s="3">
        <f t="shared" si="1"/>
        <v>-5.2083332091569901E-2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9A05-F6D9-4772-9A38-B4CD21AD1952}">
  <dimension ref="A1:B3"/>
  <sheetViews>
    <sheetView workbookViewId="0">
      <selection activeCell="B11" sqref="B11"/>
    </sheetView>
  </sheetViews>
  <sheetFormatPr defaultRowHeight="14.25" x14ac:dyDescent="0.45"/>
  <sheetData>
    <row r="1" spans="1:2" x14ac:dyDescent="0.45">
      <c r="B1" t="s">
        <v>4</v>
      </c>
    </row>
    <row r="2" spans="1:2" x14ac:dyDescent="0.45">
      <c r="A2" t="s">
        <v>2</v>
      </c>
      <c r="B2">
        <v>-0.81135000000000002</v>
      </c>
    </row>
    <row r="3" spans="1:2" x14ac:dyDescent="0.45">
      <c r="A3" t="s">
        <v>3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2022-06-24T08:37:30Z</dcterms:created>
  <dcterms:modified xsi:type="dcterms:W3CDTF">2022-06-27T13:36:01Z</dcterms:modified>
</cp:coreProperties>
</file>