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13_ncr:1_{82FCC62F-3465-4C4A-82EA-902158AFBDA7}" xr6:coauthVersionLast="36" xr6:coauthVersionMax="36" xr10:uidLastSave="{00000000-0000-0000-0000-000000000000}"/>
  <bookViews>
    <workbookView xWindow="0" yWindow="0" windowWidth="20520" windowHeight="88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  <c r="G3" i="1"/>
  <c r="G2" i="1"/>
  <c r="G4" i="1" l="1"/>
</calcChain>
</file>

<file path=xl/sharedStrings.xml><?xml version="1.0" encoding="utf-8"?>
<sst xmlns="http://schemas.openxmlformats.org/spreadsheetml/2006/main" count="11" uniqueCount="11">
  <si>
    <t>CWT_ID</t>
  </si>
  <si>
    <t>month</t>
  </si>
  <si>
    <t>GPRC_KOR</t>
  </si>
  <si>
    <t>CORR</t>
  </si>
  <si>
    <t>p-value</t>
  </si>
  <si>
    <t>corr</t>
  </si>
  <si>
    <t>media</t>
  </si>
  <si>
    <t>stdev</t>
  </si>
  <si>
    <t>CWT_stand</t>
  </si>
  <si>
    <t>SOUTH KOREA</t>
  </si>
  <si>
    <t xml:space="preserve"> -GPRC_KOR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</si>
</sst>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</a:t>
            </a:r>
            <a:r>
              <a:rPr lang="en-US" baseline="0"/>
              <a:t> KOREA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GPRC_KOR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Sheet1!$B$2:$B$42</c:f>
              <c:numCache>
                <c:formatCode>#,##0.00</c:formatCode>
                <c:ptCount val="41"/>
                <c:pt idx="0">
                  <c:v>0.45898851752281189</c:v>
                </c:pt>
                <c:pt idx="1">
                  <c:v>0.50514590740203857</c:v>
                </c:pt>
                <c:pt idx="2">
                  <c:v>0.5547676682472229</c:v>
                </c:pt>
                <c:pt idx="3">
                  <c:v>0.40737757086753845</c:v>
                </c:pt>
                <c:pt idx="4">
                  <c:v>0.5501590371131897</c:v>
                </c:pt>
                <c:pt idx="5">
                  <c:v>0.42281472682952881</c:v>
                </c:pt>
                <c:pt idx="6">
                  <c:v>0.36279976367950439</c:v>
                </c:pt>
                <c:pt idx="7">
                  <c:v>0.48225820064544678</c:v>
                </c:pt>
                <c:pt idx="8">
                  <c:v>0.32773816585540771</c:v>
                </c:pt>
                <c:pt idx="9">
                  <c:v>0.23543260991573334</c:v>
                </c:pt>
                <c:pt idx="10">
                  <c:v>0.17165492475032806</c:v>
                </c:pt>
                <c:pt idx="11">
                  <c:v>0.27181828022003174</c:v>
                </c:pt>
                <c:pt idx="12">
                  <c:v>0.38826385140419006</c:v>
                </c:pt>
                <c:pt idx="13">
                  <c:v>0.20062416791915894</c:v>
                </c:pt>
                <c:pt idx="14">
                  <c:v>0.26509320735931396</c:v>
                </c:pt>
                <c:pt idx="15">
                  <c:v>0.12070006132125854</c:v>
                </c:pt>
                <c:pt idx="16">
                  <c:v>0.19376352429389954</c:v>
                </c:pt>
                <c:pt idx="17">
                  <c:v>0.26762643456459045</c:v>
                </c:pt>
                <c:pt idx="18">
                  <c:v>0.27453979849815369</c:v>
                </c:pt>
                <c:pt idx="19">
                  <c:v>0.17364975810050964</c:v>
                </c:pt>
                <c:pt idx="20">
                  <c:v>0.19716794788837433</c:v>
                </c:pt>
                <c:pt idx="21">
                  <c:v>0.13076306879520416</c:v>
                </c:pt>
                <c:pt idx="22">
                  <c:v>0.13765887916088104</c:v>
                </c:pt>
                <c:pt idx="23">
                  <c:v>0.18885740637779236</c:v>
                </c:pt>
                <c:pt idx="24">
                  <c:v>0.28775006532669067</c:v>
                </c:pt>
                <c:pt idx="25">
                  <c:v>0.18512959778308868</c:v>
                </c:pt>
                <c:pt idx="26">
                  <c:v>0.33490225672721863</c:v>
                </c:pt>
                <c:pt idx="27">
                  <c:v>0.1976570338010788</c:v>
                </c:pt>
                <c:pt idx="28">
                  <c:v>0.26774391531944275</c:v>
                </c:pt>
                <c:pt idx="29">
                  <c:v>0.21203798055648804</c:v>
                </c:pt>
                <c:pt idx="30">
                  <c:v>0.1857096403837204</c:v>
                </c:pt>
                <c:pt idx="31">
                  <c:v>0.20002000033855438</c:v>
                </c:pt>
                <c:pt idx="32">
                  <c:v>0.27943727374076843</c:v>
                </c:pt>
                <c:pt idx="33">
                  <c:v>0.211962029337883</c:v>
                </c:pt>
                <c:pt idx="34">
                  <c:v>0.17552413046360016</c:v>
                </c:pt>
                <c:pt idx="35">
                  <c:v>0.16745318472385406</c:v>
                </c:pt>
                <c:pt idx="36">
                  <c:v>0.3454836905002594</c:v>
                </c:pt>
                <c:pt idx="37">
                  <c:v>0.31749334931373596</c:v>
                </c:pt>
                <c:pt idx="38">
                  <c:v>0.74716079235076904</c:v>
                </c:pt>
                <c:pt idx="39">
                  <c:v>0.31486526131629944</c:v>
                </c:pt>
                <c:pt idx="40">
                  <c:v>0.4622395932674408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6F-491F-868B-49686285A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3448239"/>
        <c:axId val="289484895"/>
      </c:line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Sheet1!$C$2:$C$42</c:f>
              <c:numCache>
                <c:formatCode>General</c:formatCode>
                <c:ptCount val="41"/>
                <c:pt idx="0">
                  <c:v>-132.8435215433027</c:v>
                </c:pt>
                <c:pt idx="1">
                  <c:v>-142.17149954580421</c:v>
                </c:pt>
                <c:pt idx="2">
                  <c:v>-254.9150479081421</c:v>
                </c:pt>
                <c:pt idx="3">
                  <c:v>-221.84674337137091</c:v>
                </c:pt>
                <c:pt idx="4">
                  <c:v>-289.94624379871141</c:v>
                </c:pt>
                <c:pt idx="5">
                  <c:v>-207.52637107177591</c:v>
                </c:pt>
                <c:pt idx="6">
                  <c:v>-348.18582669075988</c:v>
                </c:pt>
                <c:pt idx="7">
                  <c:v>-333.44787816709828</c:v>
                </c:pt>
                <c:pt idx="8">
                  <c:v>-218.54896073489499</c:v>
                </c:pt>
                <c:pt idx="9">
                  <c:v>-207.40876441712919</c:v>
                </c:pt>
                <c:pt idx="10">
                  <c:v>-197.63039278320599</c:v>
                </c:pt>
                <c:pt idx="11">
                  <c:v>-169.7112723432115</c:v>
                </c:pt>
                <c:pt idx="12">
                  <c:v>-209.60488894380541</c:v>
                </c:pt>
                <c:pt idx="13">
                  <c:v>-575.47970544317354</c:v>
                </c:pt>
                <c:pt idx="14">
                  <c:v>-711.86456532978548</c:v>
                </c:pt>
                <c:pt idx="15">
                  <c:v>-473.51300526925672</c:v>
                </c:pt>
                <c:pt idx="16">
                  <c:v>-405.27030038015181</c:v>
                </c:pt>
                <c:pt idx="17">
                  <c:v>-597.58087473464786</c:v>
                </c:pt>
                <c:pt idx="18">
                  <c:v>-363.39943221600339</c:v>
                </c:pt>
                <c:pt idx="19">
                  <c:v>-276.90137185622041</c:v>
                </c:pt>
                <c:pt idx="20">
                  <c:v>-250.28798614745321</c:v>
                </c:pt>
                <c:pt idx="21">
                  <c:v>-83.128018078468656</c:v>
                </c:pt>
                <c:pt idx="22">
                  <c:v>-142.09543425385621</c:v>
                </c:pt>
                <c:pt idx="23">
                  <c:v>-221.1591355321149</c:v>
                </c:pt>
                <c:pt idx="24">
                  <c:v>-169.70086802031881</c:v>
                </c:pt>
                <c:pt idx="25">
                  <c:v>-111.64366446588291</c:v>
                </c:pt>
                <c:pt idx="26">
                  <c:v>-210.6153152081821</c:v>
                </c:pt>
                <c:pt idx="27">
                  <c:v>-154.58147035326061</c:v>
                </c:pt>
                <c:pt idx="28">
                  <c:v>-60.30901339807388</c:v>
                </c:pt>
                <c:pt idx="29">
                  <c:v>-104.5627764355698</c:v>
                </c:pt>
                <c:pt idx="30">
                  <c:v>-118.3746907392688</c:v>
                </c:pt>
                <c:pt idx="31">
                  <c:v>-105.1790845874396</c:v>
                </c:pt>
                <c:pt idx="32">
                  <c:v>-124.6736100886435</c:v>
                </c:pt>
                <c:pt idx="33">
                  <c:v>-97.901735886799486</c:v>
                </c:pt>
                <c:pt idx="34">
                  <c:v>-74.97680219252662</c:v>
                </c:pt>
                <c:pt idx="35">
                  <c:v>-110.0426161159792</c:v>
                </c:pt>
                <c:pt idx="36">
                  <c:v>-139.32869739189121</c:v>
                </c:pt>
                <c:pt idx="37">
                  <c:v>-96.777045389657545</c:v>
                </c:pt>
                <c:pt idx="38">
                  <c:v>-177.9238348061904</c:v>
                </c:pt>
                <c:pt idx="39">
                  <c:v>-115.8127101354336</c:v>
                </c:pt>
                <c:pt idx="40">
                  <c:v>-211.91565167447021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6F-491F-868B-49686285A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3451039"/>
        <c:axId val="289485311"/>
      </c:lineChart>
      <c:dateAx>
        <c:axId val="6734482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84895"/>
        <c:crosses val="autoZero"/>
        <c:auto val="1"/>
        <c:lblOffset val="100"/>
        <c:baseTimeUnit val="months"/>
      </c:dateAx>
      <c:valAx>
        <c:axId val="28948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448239"/>
        <c:crosses val="autoZero"/>
        <c:crossBetween val="between"/>
      </c:valAx>
      <c:valAx>
        <c:axId val="2894853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451039"/>
        <c:crosses val="max"/>
        <c:crossBetween val="between"/>
      </c:valAx>
      <c:dateAx>
        <c:axId val="6734510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894853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</a:t>
            </a:r>
            <a:r>
              <a:rPr lang="en-US" baseline="0"/>
              <a:t> KOREA         CORR=0,0046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GPRC_KOR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Sheet1!$B$2:$B$42</c:f>
              <c:numCache>
                <c:formatCode>#,##0.00</c:formatCode>
                <c:ptCount val="41"/>
                <c:pt idx="0">
                  <c:v>0.45898851752281189</c:v>
                </c:pt>
                <c:pt idx="1">
                  <c:v>0.50514590740203857</c:v>
                </c:pt>
                <c:pt idx="2">
                  <c:v>0.5547676682472229</c:v>
                </c:pt>
                <c:pt idx="3">
                  <c:v>0.40737757086753845</c:v>
                </c:pt>
                <c:pt idx="4">
                  <c:v>0.5501590371131897</c:v>
                </c:pt>
                <c:pt idx="5">
                  <c:v>0.42281472682952881</c:v>
                </c:pt>
                <c:pt idx="6">
                  <c:v>0.36279976367950439</c:v>
                </c:pt>
                <c:pt idx="7">
                  <c:v>0.48225820064544678</c:v>
                </c:pt>
                <c:pt idx="8">
                  <c:v>0.32773816585540771</c:v>
                </c:pt>
                <c:pt idx="9">
                  <c:v>0.23543260991573334</c:v>
                </c:pt>
                <c:pt idx="10">
                  <c:v>0.17165492475032806</c:v>
                </c:pt>
                <c:pt idx="11">
                  <c:v>0.27181828022003174</c:v>
                </c:pt>
                <c:pt idx="12">
                  <c:v>0.38826385140419006</c:v>
                </c:pt>
                <c:pt idx="13">
                  <c:v>0.20062416791915894</c:v>
                </c:pt>
                <c:pt idx="14">
                  <c:v>0.26509320735931396</c:v>
                </c:pt>
                <c:pt idx="15">
                  <c:v>0.12070006132125854</c:v>
                </c:pt>
                <c:pt idx="16">
                  <c:v>0.19376352429389954</c:v>
                </c:pt>
                <c:pt idx="17">
                  <c:v>0.26762643456459045</c:v>
                </c:pt>
                <c:pt idx="18">
                  <c:v>0.27453979849815369</c:v>
                </c:pt>
                <c:pt idx="19">
                  <c:v>0.17364975810050964</c:v>
                </c:pt>
                <c:pt idx="20">
                  <c:v>0.19716794788837433</c:v>
                </c:pt>
                <c:pt idx="21">
                  <c:v>0.13076306879520416</c:v>
                </c:pt>
                <c:pt idx="22">
                  <c:v>0.13765887916088104</c:v>
                </c:pt>
                <c:pt idx="23">
                  <c:v>0.18885740637779236</c:v>
                </c:pt>
                <c:pt idx="24">
                  <c:v>0.28775006532669067</c:v>
                </c:pt>
                <c:pt idx="25">
                  <c:v>0.18512959778308868</c:v>
                </c:pt>
                <c:pt idx="26">
                  <c:v>0.33490225672721863</c:v>
                </c:pt>
                <c:pt idx="27">
                  <c:v>0.1976570338010788</c:v>
                </c:pt>
                <c:pt idx="28">
                  <c:v>0.26774391531944275</c:v>
                </c:pt>
                <c:pt idx="29">
                  <c:v>0.21203798055648804</c:v>
                </c:pt>
                <c:pt idx="30">
                  <c:v>0.1857096403837204</c:v>
                </c:pt>
                <c:pt idx="31">
                  <c:v>0.20002000033855438</c:v>
                </c:pt>
                <c:pt idx="32">
                  <c:v>0.27943727374076843</c:v>
                </c:pt>
                <c:pt idx="33">
                  <c:v>0.211962029337883</c:v>
                </c:pt>
                <c:pt idx="34">
                  <c:v>0.17552413046360016</c:v>
                </c:pt>
                <c:pt idx="35">
                  <c:v>0.16745318472385406</c:v>
                </c:pt>
                <c:pt idx="36">
                  <c:v>0.3454836905002594</c:v>
                </c:pt>
                <c:pt idx="37">
                  <c:v>0.31749334931373596</c:v>
                </c:pt>
                <c:pt idx="38">
                  <c:v>0.74716079235076904</c:v>
                </c:pt>
                <c:pt idx="39">
                  <c:v>0.31486526131629944</c:v>
                </c:pt>
                <c:pt idx="40">
                  <c:v>0.4622395932674408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1-4A01-B199-BE71AADA1BCA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0.61923610989587008</c:v>
                </c:pt>
                <c:pt idx="1">
                  <c:v>0.55645447058175324</c:v>
                </c:pt>
                <c:pt idx="2">
                  <c:v>-0.20236215466970017</c:v>
                </c:pt>
                <c:pt idx="3">
                  <c:v>2.0202946534461634E-2</c:v>
                </c:pt>
                <c:pt idx="4">
                  <c:v>-0.43813842950161963</c:v>
                </c:pt>
                <c:pt idx="5">
                  <c:v>0.11658572620181727</c:v>
                </c:pt>
                <c:pt idx="6">
                  <c:v>-0.83011796525445458</c:v>
                </c:pt>
                <c:pt idx="7">
                  <c:v>-0.73092470298535284</c:v>
                </c:pt>
                <c:pt idx="8">
                  <c:v>4.2398560628326962E-2</c:v>
                </c:pt>
                <c:pt idx="9">
                  <c:v>0.11737727379884101</c:v>
                </c:pt>
                <c:pt idx="10">
                  <c:v>0.18319027216094327</c:v>
                </c:pt>
                <c:pt idx="11">
                  <c:v>0.37109896458721897</c:v>
                </c:pt>
                <c:pt idx="12">
                  <c:v>0.10259633221796495</c:v>
                </c:pt>
                <c:pt idx="13">
                  <c:v>-2.3599117008650929</c:v>
                </c:pt>
                <c:pt idx="14">
                  <c:v>-3.2778453708428112</c:v>
                </c:pt>
                <c:pt idx="15">
                  <c:v>-1.6736282865331982</c:v>
                </c:pt>
                <c:pt idx="16">
                  <c:v>-1.2143230777281875</c:v>
                </c:pt>
                <c:pt idx="17">
                  <c:v>-2.5086628705725551</c:v>
                </c:pt>
                <c:pt idx="18">
                  <c:v>-0.93251262082685749</c:v>
                </c:pt>
                <c:pt idx="19">
                  <c:v>-0.35034036169178073</c:v>
                </c:pt>
                <c:pt idx="20">
                  <c:v>-0.1712198725517739</c:v>
                </c:pt>
                <c:pt idx="21">
                  <c:v>0.95384461840778045</c:v>
                </c:pt>
                <c:pt idx="22">
                  <c:v>0.55696642544722585</c:v>
                </c:pt>
                <c:pt idx="23">
                  <c:v>2.4830867756204744E-2</c:v>
                </c:pt>
                <c:pt idx="24">
                  <c:v>0.37116899052928076</c:v>
                </c:pt>
                <c:pt idx="25">
                  <c:v>0.76192102834105391</c:v>
                </c:pt>
                <c:pt idx="26">
                  <c:v>9.5795692543793762E-2</c:v>
                </c:pt>
                <c:pt idx="27">
                  <c:v>0.47292958330998763</c:v>
                </c:pt>
                <c:pt idx="28">
                  <c:v>1.1074271548339492</c:v>
                </c:pt>
                <c:pt idx="29">
                  <c:v>0.80957870487326156</c:v>
                </c:pt>
                <c:pt idx="30">
                  <c:v>0.71661808448803122</c:v>
                </c:pt>
                <c:pt idx="31">
                  <c:v>0.80543066377725303</c:v>
                </c:pt>
                <c:pt idx="32">
                  <c:v>0.674223421619497</c:v>
                </c:pt>
                <c:pt idx="33">
                  <c:v>0.85441061218237579</c:v>
                </c:pt>
                <c:pt idx="34">
                  <c:v>1.0087061002407645</c:v>
                </c:pt>
                <c:pt idx="35">
                  <c:v>0.77269682991360922</c:v>
                </c:pt>
                <c:pt idx="36">
                  <c:v>0.57558785398172452</c:v>
                </c:pt>
                <c:pt idx="37">
                  <c:v>0.86198030339655385</c:v>
                </c:pt>
                <c:pt idx="38">
                  <c:v>0.31582459169985511</c:v>
                </c:pt>
                <c:pt idx="39">
                  <c:v>0.73386140797749588</c:v>
                </c:pt>
                <c:pt idx="40">
                  <c:v>8.704382209645771E-2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1-4A01-B199-BE71AADA1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625167"/>
        <c:axId val="373301855"/>
      </c:lineChart>
      <c:dateAx>
        <c:axId val="7606251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301855"/>
        <c:crosses val="autoZero"/>
        <c:auto val="1"/>
        <c:lblOffset val="100"/>
        <c:baseTimeUnit val="months"/>
      </c:dateAx>
      <c:valAx>
        <c:axId val="37330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62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KOREA     CORR=0.0046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0.61923610989587008</c:v>
                </c:pt>
                <c:pt idx="1">
                  <c:v>0.55645447058175324</c:v>
                </c:pt>
                <c:pt idx="2">
                  <c:v>-0.20236215466970017</c:v>
                </c:pt>
                <c:pt idx="3">
                  <c:v>2.0202946534461634E-2</c:v>
                </c:pt>
                <c:pt idx="4">
                  <c:v>-0.43813842950161963</c:v>
                </c:pt>
                <c:pt idx="5">
                  <c:v>0.11658572620181727</c:v>
                </c:pt>
                <c:pt idx="6">
                  <c:v>-0.83011796525445458</c:v>
                </c:pt>
                <c:pt idx="7">
                  <c:v>-0.73092470298535284</c:v>
                </c:pt>
                <c:pt idx="8">
                  <c:v>4.2398560628326962E-2</c:v>
                </c:pt>
                <c:pt idx="9">
                  <c:v>0.11737727379884101</c:v>
                </c:pt>
                <c:pt idx="10">
                  <c:v>0.18319027216094327</c:v>
                </c:pt>
                <c:pt idx="11">
                  <c:v>0.37109896458721897</c:v>
                </c:pt>
                <c:pt idx="12">
                  <c:v>0.10259633221796495</c:v>
                </c:pt>
                <c:pt idx="13">
                  <c:v>-2.3599117008650929</c:v>
                </c:pt>
                <c:pt idx="14">
                  <c:v>-3.2778453708428112</c:v>
                </c:pt>
                <c:pt idx="15">
                  <c:v>-1.6736282865331982</c:v>
                </c:pt>
                <c:pt idx="16">
                  <c:v>-1.2143230777281875</c:v>
                </c:pt>
                <c:pt idx="17">
                  <c:v>-2.5086628705725551</c:v>
                </c:pt>
                <c:pt idx="18">
                  <c:v>-0.93251262082685749</c:v>
                </c:pt>
                <c:pt idx="19">
                  <c:v>-0.35034036169178073</c:v>
                </c:pt>
                <c:pt idx="20">
                  <c:v>-0.1712198725517739</c:v>
                </c:pt>
                <c:pt idx="21">
                  <c:v>0.95384461840778045</c:v>
                </c:pt>
                <c:pt idx="22">
                  <c:v>0.55696642544722585</c:v>
                </c:pt>
                <c:pt idx="23">
                  <c:v>2.4830867756204744E-2</c:v>
                </c:pt>
                <c:pt idx="24">
                  <c:v>0.37116899052928076</c:v>
                </c:pt>
                <c:pt idx="25">
                  <c:v>0.76192102834105391</c:v>
                </c:pt>
                <c:pt idx="26">
                  <c:v>9.5795692543793762E-2</c:v>
                </c:pt>
                <c:pt idx="27">
                  <c:v>0.47292958330998763</c:v>
                </c:pt>
                <c:pt idx="28">
                  <c:v>1.1074271548339492</c:v>
                </c:pt>
                <c:pt idx="29">
                  <c:v>0.80957870487326156</c:v>
                </c:pt>
                <c:pt idx="30">
                  <c:v>0.71661808448803122</c:v>
                </c:pt>
                <c:pt idx="31">
                  <c:v>0.80543066377725303</c:v>
                </c:pt>
                <c:pt idx="32">
                  <c:v>0.674223421619497</c:v>
                </c:pt>
                <c:pt idx="33">
                  <c:v>0.85441061218237579</c:v>
                </c:pt>
                <c:pt idx="34">
                  <c:v>1.0087061002407645</c:v>
                </c:pt>
                <c:pt idx="35">
                  <c:v>0.77269682991360922</c:v>
                </c:pt>
                <c:pt idx="36">
                  <c:v>0.57558785398172452</c:v>
                </c:pt>
                <c:pt idx="37">
                  <c:v>0.86198030339655385</c:v>
                </c:pt>
                <c:pt idx="38">
                  <c:v>0.31582459169985511</c:v>
                </c:pt>
                <c:pt idx="39">
                  <c:v>0.73386140797749588</c:v>
                </c:pt>
                <c:pt idx="40">
                  <c:v>8.704382209645771E-2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6-4224-974A-9639A0DAD719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 -GPRC_KOR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Sheet1!$E$2:$E$42</c:f>
              <c:numCache>
                <c:formatCode>#,##0.00</c:formatCode>
                <c:ptCount val="41"/>
                <c:pt idx="0">
                  <c:v>-0.45898851752281189</c:v>
                </c:pt>
                <c:pt idx="1">
                  <c:v>-0.50514590740203857</c:v>
                </c:pt>
                <c:pt idx="2">
                  <c:v>-0.5547676682472229</c:v>
                </c:pt>
                <c:pt idx="3">
                  <c:v>-0.40737757086753845</c:v>
                </c:pt>
                <c:pt idx="4">
                  <c:v>-0.5501590371131897</c:v>
                </c:pt>
                <c:pt idx="5">
                  <c:v>-0.42281472682952881</c:v>
                </c:pt>
                <c:pt idx="6">
                  <c:v>-0.36279976367950439</c:v>
                </c:pt>
                <c:pt idx="7">
                  <c:v>-0.48225820064544678</c:v>
                </c:pt>
                <c:pt idx="8">
                  <c:v>-0.32773816585540771</c:v>
                </c:pt>
                <c:pt idx="9">
                  <c:v>-0.23543260991573334</c:v>
                </c:pt>
                <c:pt idx="10">
                  <c:v>-0.17165492475032806</c:v>
                </c:pt>
                <c:pt idx="11">
                  <c:v>-0.27181828022003174</c:v>
                </c:pt>
                <c:pt idx="12">
                  <c:v>-0.38826385140419006</c:v>
                </c:pt>
                <c:pt idx="13">
                  <c:v>-0.20062416791915894</c:v>
                </c:pt>
                <c:pt idx="14">
                  <c:v>-0.26509320735931396</c:v>
                </c:pt>
                <c:pt idx="15">
                  <c:v>-0.12070006132125854</c:v>
                </c:pt>
                <c:pt idx="16">
                  <c:v>-0.19376352429389954</c:v>
                </c:pt>
                <c:pt idx="17">
                  <c:v>-0.26762643456459045</c:v>
                </c:pt>
                <c:pt idx="18">
                  <c:v>-0.27453979849815369</c:v>
                </c:pt>
                <c:pt idx="19">
                  <c:v>-0.17364975810050964</c:v>
                </c:pt>
                <c:pt idx="20">
                  <c:v>-0.19716794788837433</c:v>
                </c:pt>
                <c:pt idx="21">
                  <c:v>-0.13076306879520416</c:v>
                </c:pt>
                <c:pt idx="22">
                  <c:v>-0.13765887916088104</c:v>
                </c:pt>
                <c:pt idx="23">
                  <c:v>-0.18885740637779236</c:v>
                </c:pt>
                <c:pt idx="24">
                  <c:v>-0.28775006532669067</c:v>
                </c:pt>
                <c:pt idx="25">
                  <c:v>-0.18512959778308868</c:v>
                </c:pt>
                <c:pt idx="26">
                  <c:v>-0.33490225672721863</c:v>
                </c:pt>
                <c:pt idx="27">
                  <c:v>-0.1976570338010788</c:v>
                </c:pt>
                <c:pt idx="28">
                  <c:v>-0.26774391531944275</c:v>
                </c:pt>
                <c:pt idx="29">
                  <c:v>-0.21203798055648804</c:v>
                </c:pt>
                <c:pt idx="30">
                  <c:v>-0.1857096403837204</c:v>
                </c:pt>
                <c:pt idx="31">
                  <c:v>-0.20002000033855438</c:v>
                </c:pt>
                <c:pt idx="32">
                  <c:v>-0.27943727374076843</c:v>
                </c:pt>
                <c:pt idx="33">
                  <c:v>-0.211962029337883</c:v>
                </c:pt>
                <c:pt idx="34">
                  <c:v>-0.17552413046360016</c:v>
                </c:pt>
                <c:pt idx="35">
                  <c:v>-0.16745318472385406</c:v>
                </c:pt>
                <c:pt idx="36">
                  <c:v>-0.3454836905002594</c:v>
                </c:pt>
                <c:pt idx="37">
                  <c:v>-0.31749334931373596</c:v>
                </c:pt>
                <c:pt idx="38">
                  <c:v>-0.74716079235076904</c:v>
                </c:pt>
                <c:pt idx="39">
                  <c:v>-0.31486526131629944</c:v>
                </c:pt>
                <c:pt idx="40">
                  <c:v>-0.4622395932674408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86-4224-974A-9639A0DAD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360031"/>
        <c:axId val="917703967"/>
      </c:lineChart>
      <c:dateAx>
        <c:axId val="10673600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03967"/>
        <c:crosses val="autoZero"/>
        <c:auto val="1"/>
        <c:lblOffset val="100"/>
        <c:baseTimeUnit val="months"/>
      </c:dateAx>
      <c:valAx>
        <c:axId val="91770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36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121442</xdr:colOff>
      <xdr:row>20</xdr:row>
      <xdr:rowOff>164305</xdr:rowOff>
    </xdr:from>
    <xdr:to>
      <xdr:col>15</xdr:col>
      <xdr:colOff>342899</xdr:colOff>
      <xdr:row>41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E4C67-06AB-476F-9CC0-4AB0C683D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183354</xdr:colOff>
      <xdr:row>3</xdr:row>
      <xdr:rowOff>78581</xdr:rowOff>
    </xdr:from>
    <xdr:to>
      <xdr:col>17</xdr:col>
      <xdr:colOff>385761</xdr:colOff>
      <xdr:row>18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DAD250-9C9B-4EF8-BF73-E97B6D39A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121443</xdr:colOff>
      <xdr:row>29</xdr:row>
      <xdr:rowOff>164306</xdr:rowOff>
    </xdr:from>
    <xdr:to>
      <xdr:col>13</xdr:col>
      <xdr:colOff>159543</xdr:colOff>
      <xdr:row>45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E18387-5512-42CA-A939-36C9F9B09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20" workbookViewId="0">
      <selection activeCell="D1" activeCellId="1" sqref="A1:A42 D1:E42"/>
    </sheetView>
  </sheetViews>
  <sheetFormatPr defaultRowHeight="14.25" x14ac:dyDescent="0.45"/>
  <sheetData>
    <row r="1" spans="1:7" x14ac:dyDescent="0.45">
      <c r="A1" t="s">
        <v>1</v>
      </c>
      <c r="B1" t="s">
        <v>2</v>
      </c>
      <c r="C1" s="1" t="s">
        <v>0</v>
      </c>
      <c r="D1" t="s">
        <v>8</v>
      </c>
      <c r="E1" t="s">
        <v>10</v>
      </c>
    </row>
    <row r="2" spans="1:7" x14ac:dyDescent="0.45">
      <c r="A2" s="2">
        <v>43466</v>
      </c>
      <c r="B2" s="3">
        <v>0.45898851752281189</v>
      </c>
      <c r="C2">
        <v>-132.8435215433027</v>
      </c>
      <c r="D2">
        <f>STANDARDIZE(C2,$G$2,$G$3)</f>
        <v>0.61923610989587008</v>
      </c>
      <c r="E2" s="3">
        <f>-B2</f>
        <v>-0.45898851752281189</v>
      </c>
      <c r="F2" t="s">
        <v>6</v>
      </c>
      <c r="G2">
        <f>AVERAGE(C2:C42)</f>
        <v>-224.84845920609581</v>
      </c>
    </row>
    <row r="3" spans="1:7" x14ac:dyDescent="0.45">
      <c r="A3" s="2">
        <v>43497</v>
      </c>
      <c r="B3" s="3">
        <v>0.50514590740203857</v>
      </c>
      <c r="C3">
        <v>-142.17149954580421</v>
      </c>
      <c r="D3">
        <f t="shared" ref="D3:D42" si="0">STANDARDIZE(C3,$G$2,$G$3)</f>
        <v>0.55645447058175324</v>
      </c>
      <c r="E3" s="3">
        <f t="shared" ref="E3:E42" si="1">-B3</f>
        <v>-0.50514590740203857</v>
      </c>
      <c r="F3" t="s">
        <v>7</v>
      </c>
      <c r="G3">
        <f>STDEV(C2:C42)</f>
        <v>148.57812099857119</v>
      </c>
    </row>
    <row r="4" spans="1:7" x14ac:dyDescent="0.45">
      <c r="A4" s="2">
        <v>43525</v>
      </c>
      <c r="B4" s="3">
        <v>0.5547676682472229</v>
      </c>
      <c r="C4">
        <v>-254.9150479081421</v>
      </c>
      <c r="D4">
        <f t="shared" si="0"/>
        <v>-0.20236215466970017</v>
      </c>
      <c r="E4" s="3">
        <f t="shared" si="1"/>
        <v>-0.5547676682472229</v>
      </c>
      <c r="F4" t="s">
        <v>5</v>
      </c>
      <c r="G4">
        <f>CORREL(B2:B42,C2:C42)</f>
        <v>4.6050069369983366E-3</v>
      </c>
    </row>
    <row r="5" spans="1:7" x14ac:dyDescent="0.45">
      <c r="A5" s="2">
        <v>43556</v>
      </c>
      <c r="B5" s="3">
        <v>0.40737757086753845</v>
      </c>
      <c r="C5">
        <v>-221.84674337137091</v>
      </c>
      <c r="D5">
        <f t="shared" si="0"/>
        <v>2.0202946534461634E-2</v>
      </c>
      <c r="E5" s="3">
        <f t="shared" si="1"/>
        <v>-0.40737757086753845</v>
      </c>
    </row>
    <row r="6" spans="1:7" x14ac:dyDescent="0.45">
      <c r="A6" s="2">
        <v>43586</v>
      </c>
      <c r="B6" s="3">
        <v>0.5501590371131897</v>
      </c>
      <c r="C6">
        <v>-289.94624379871141</v>
      </c>
      <c r="D6">
        <f t="shared" si="0"/>
        <v>-0.43813842950161963</v>
      </c>
      <c r="E6" s="3">
        <f t="shared" si="1"/>
        <v>-0.5501590371131897</v>
      </c>
    </row>
    <row r="7" spans="1:7" x14ac:dyDescent="0.45">
      <c r="A7" s="2">
        <v>43617</v>
      </c>
      <c r="B7" s="3">
        <v>0.42281472682952881</v>
      </c>
      <c r="C7">
        <v>-207.52637107177591</v>
      </c>
      <c r="D7">
        <f t="shared" si="0"/>
        <v>0.11658572620181727</v>
      </c>
      <c r="E7" s="3">
        <f t="shared" si="1"/>
        <v>-0.42281472682952881</v>
      </c>
    </row>
    <row r="8" spans="1:7" x14ac:dyDescent="0.45">
      <c r="A8" s="2">
        <v>43647</v>
      </c>
      <c r="B8" s="3">
        <v>0.36279976367950439</v>
      </c>
      <c r="C8">
        <v>-348.18582669075988</v>
      </c>
      <c r="D8">
        <f t="shared" si="0"/>
        <v>-0.83011796525445458</v>
      </c>
      <c r="E8" s="3">
        <f t="shared" si="1"/>
        <v>-0.36279976367950439</v>
      </c>
    </row>
    <row r="9" spans="1:7" x14ac:dyDescent="0.45">
      <c r="A9" s="2">
        <v>43678</v>
      </c>
      <c r="B9" s="3">
        <v>0.48225820064544678</v>
      </c>
      <c r="C9">
        <v>-333.44787816709828</v>
      </c>
      <c r="D9">
        <f t="shared" si="0"/>
        <v>-0.73092470298535284</v>
      </c>
      <c r="E9" s="3">
        <f t="shared" si="1"/>
        <v>-0.48225820064544678</v>
      </c>
    </row>
    <row r="10" spans="1:7" x14ac:dyDescent="0.45">
      <c r="A10" s="2">
        <v>43709</v>
      </c>
      <c r="B10" s="3">
        <v>0.32773816585540771</v>
      </c>
      <c r="C10">
        <v>-218.54896073489499</v>
      </c>
      <c r="D10">
        <f t="shared" si="0"/>
        <v>4.2398560628326962E-2</v>
      </c>
      <c r="E10" s="3">
        <f t="shared" si="1"/>
        <v>-0.32773816585540771</v>
      </c>
    </row>
    <row r="11" spans="1:7" x14ac:dyDescent="0.45">
      <c r="A11" s="2">
        <v>43739</v>
      </c>
      <c r="B11" s="3">
        <v>0.23543260991573334</v>
      </c>
      <c r="C11">
        <v>-207.40876441712919</v>
      </c>
      <c r="D11">
        <f t="shared" si="0"/>
        <v>0.11737727379884101</v>
      </c>
      <c r="E11" s="3">
        <f t="shared" si="1"/>
        <v>-0.23543260991573334</v>
      </c>
    </row>
    <row r="12" spans="1:7" x14ac:dyDescent="0.45">
      <c r="A12" s="2">
        <v>43770</v>
      </c>
      <c r="B12" s="3">
        <v>0.17165492475032806</v>
      </c>
      <c r="C12">
        <v>-197.63039278320599</v>
      </c>
      <c r="D12">
        <f t="shared" si="0"/>
        <v>0.18319027216094327</v>
      </c>
      <c r="E12" s="3">
        <f t="shared" si="1"/>
        <v>-0.17165492475032806</v>
      </c>
    </row>
    <row r="13" spans="1:7" x14ac:dyDescent="0.45">
      <c r="A13" s="2">
        <v>43800</v>
      </c>
      <c r="B13" s="3">
        <v>0.27181828022003174</v>
      </c>
      <c r="C13">
        <v>-169.7112723432115</v>
      </c>
      <c r="D13">
        <f t="shared" si="0"/>
        <v>0.37109896458721897</v>
      </c>
      <c r="E13" s="3">
        <f t="shared" si="1"/>
        <v>-0.27181828022003174</v>
      </c>
    </row>
    <row r="14" spans="1:7" x14ac:dyDescent="0.45">
      <c r="A14" s="2">
        <v>43831</v>
      </c>
      <c r="B14" s="3">
        <v>0.38826385140419006</v>
      </c>
      <c r="C14">
        <v>-209.60488894380541</v>
      </c>
      <c r="D14">
        <f t="shared" si="0"/>
        <v>0.10259633221796495</v>
      </c>
      <c r="E14" s="3">
        <f t="shared" si="1"/>
        <v>-0.38826385140419006</v>
      </c>
    </row>
    <row r="15" spans="1:7" x14ac:dyDescent="0.45">
      <c r="A15" s="2">
        <v>43862</v>
      </c>
      <c r="B15" s="3">
        <v>0.20062416791915894</v>
      </c>
      <c r="C15">
        <v>-575.47970544317354</v>
      </c>
      <c r="D15">
        <f t="shared" si="0"/>
        <v>-2.3599117008650929</v>
      </c>
      <c r="E15" s="3">
        <f t="shared" si="1"/>
        <v>-0.20062416791915894</v>
      </c>
    </row>
    <row r="16" spans="1:7" x14ac:dyDescent="0.45">
      <c r="A16" s="2">
        <v>43891</v>
      </c>
      <c r="B16" s="3">
        <v>0.26509320735931396</v>
      </c>
      <c r="C16">
        <v>-711.86456532978548</v>
      </c>
      <c r="D16">
        <f t="shared" si="0"/>
        <v>-3.2778453708428112</v>
      </c>
      <c r="E16" s="3">
        <f t="shared" si="1"/>
        <v>-0.26509320735931396</v>
      </c>
    </row>
    <row r="17" spans="1:5" x14ac:dyDescent="0.45">
      <c r="A17" s="2">
        <v>43922</v>
      </c>
      <c r="B17" s="3">
        <v>0.12070006132125854</v>
      </c>
      <c r="C17">
        <v>-473.51300526925672</v>
      </c>
      <c r="D17">
        <f t="shared" si="0"/>
        <v>-1.6736282865331982</v>
      </c>
      <c r="E17" s="3">
        <f t="shared" si="1"/>
        <v>-0.12070006132125854</v>
      </c>
    </row>
    <row r="18" spans="1:5" x14ac:dyDescent="0.45">
      <c r="A18" s="2">
        <v>43952</v>
      </c>
      <c r="B18" s="3">
        <v>0.19376352429389954</v>
      </c>
      <c r="C18">
        <v>-405.27030038015181</v>
      </c>
      <c r="D18">
        <f t="shared" si="0"/>
        <v>-1.2143230777281875</v>
      </c>
      <c r="E18" s="3">
        <f t="shared" si="1"/>
        <v>-0.19376352429389954</v>
      </c>
    </row>
    <row r="19" spans="1:5" x14ac:dyDescent="0.45">
      <c r="A19" s="2">
        <v>43983</v>
      </c>
      <c r="B19" s="3">
        <v>0.26762643456459045</v>
      </c>
      <c r="C19">
        <v>-597.58087473464786</v>
      </c>
      <c r="D19">
        <f t="shared" si="0"/>
        <v>-2.5086628705725551</v>
      </c>
      <c r="E19" s="3">
        <f t="shared" si="1"/>
        <v>-0.26762643456459045</v>
      </c>
    </row>
    <row r="20" spans="1:5" x14ac:dyDescent="0.45">
      <c r="A20" s="2">
        <v>44013</v>
      </c>
      <c r="B20" s="3">
        <v>0.27453979849815369</v>
      </c>
      <c r="C20">
        <v>-363.39943221600339</v>
      </c>
      <c r="D20">
        <f t="shared" si="0"/>
        <v>-0.93251262082685749</v>
      </c>
      <c r="E20" s="3">
        <f t="shared" si="1"/>
        <v>-0.27453979849815369</v>
      </c>
    </row>
    <row r="21" spans="1:5" x14ac:dyDescent="0.45">
      <c r="A21" s="2">
        <v>44044</v>
      </c>
      <c r="B21" s="3">
        <v>0.17364975810050964</v>
      </c>
      <c r="C21">
        <v>-276.90137185622041</v>
      </c>
      <c r="D21">
        <f t="shared" si="0"/>
        <v>-0.35034036169178073</v>
      </c>
      <c r="E21" s="3">
        <f t="shared" si="1"/>
        <v>-0.17364975810050964</v>
      </c>
    </row>
    <row r="22" spans="1:5" x14ac:dyDescent="0.45">
      <c r="A22" s="2">
        <v>44075</v>
      </c>
      <c r="B22" s="3">
        <v>0.19716794788837433</v>
      </c>
      <c r="C22">
        <v>-250.28798614745321</v>
      </c>
      <c r="D22">
        <f t="shared" si="0"/>
        <v>-0.1712198725517739</v>
      </c>
      <c r="E22" s="3">
        <f t="shared" si="1"/>
        <v>-0.19716794788837433</v>
      </c>
    </row>
    <row r="23" spans="1:5" x14ac:dyDescent="0.45">
      <c r="A23" s="2">
        <v>44105</v>
      </c>
      <c r="B23" s="3">
        <v>0.13076306879520416</v>
      </c>
      <c r="C23">
        <v>-83.128018078468656</v>
      </c>
      <c r="D23">
        <f t="shared" si="0"/>
        <v>0.95384461840778045</v>
      </c>
      <c r="E23" s="3">
        <f t="shared" si="1"/>
        <v>-0.13076306879520416</v>
      </c>
    </row>
    <row r="24" spans="1:5" x14ac:dyDescent="0.45">
      <c r="A24" s="2">
        <v>44136</v>
      </c>
      <c r="B24" s="3">
        <v>0.13765887916088104</v>
      </c>
      <c r="C24">
        <v>-142.09543425385621</v>
      </c>
      <c r="D24">
        <f t="shared" si="0"/>
        <v>0.55696642544722585</v>
      </c>
      <c r="E24" s="3">
        <f t="shared" si="1"/>
        <v>-0.13765887916088104</v>
      </c>
    </row>
    <row r="25" spans="1:5" x14ac:dyDescent="0.45">
      <c r="A25" s="2">
        <v>44166</v>
      </c>
      <c r="B25" s="3">
        <v>0.18885740637779236</v>
      </c>
      <c r="C25">
        <v>-221.1591355321149</v>
      </c>
      <c r="D25">
        <f t="shared" si="0"/>
        <v>2.4830867756204744E-2</v>
      </c>
      <c r="E25" s="3">
        <f t="shared" si="1"/>
        <v>-0.18885740637779236</v>
      </c>
    </row>
    <row r="26" spans="1:5" x14ac:dyDescent="0.45">
      <c r="A26" s="2">
        <v>44197</v>
      </c>
      <c r="B26" s="3">
        <v>0.28775006532669067</v>
      </c>
      <c r="C26">
        <v>-169.70086802031881</v>
      </c>
      <c r="D26">
        <f t="shared" si="0"/>
        <v>0.37116899052928076</v>
      </c>
      <c r="E26" s="3">
        <f t="shared" si="1"/>
        <v>-0.28775006532669067</v>
      </c>
    </row>
    <row r="27" spans="1:5" x14ac:dyDescent="0.45">
      <c r="A27" s="2">
        <v>44228</v>
      </c>
      <c r="B27" s="3">
        <v>0.18512959778308868</v>
      </c>
      <c r="C27">
        <v>-111.64366446588291</v>
      </c>
      <c r="D27">
        <f t="shared" si="0"/>
        <v>0.76192102834105391</v>
      </c>
      <c r="E27" s="3">
        <f t="shared" si="1"/>
        <v>-0.18512959778308868</v>
      </c>
    </row>
    <row r="28" spans="1:5" x14ac:dyDescent="0.45">
      <c r="A28" s="2">
        <v>44256</v>
      </c>
      <c r="B28" s="3">
        <v>0.33490225672721863</v>
      </c>
      <c r="C28">
        <v>-210.6153152081821</v>
      </c>
      <c r="D28">
        <f t="shared" si="0"/>
        <v>9.5795692543793762E-2</v>
      </c>
      <c r="E28" s="3">
        <f t="shared" si="1"/>
        <v>-0.33490225672721863</v>
      </c>
    </row>
    <row r="29" spans="1:5" x14ac:dyDescent="0.45">
      <c r="A29" s="2">
        <v>44287</v>
      </c>
      <c r="B29" s="3">
        <v>0.1976570338010788</v>
      </c>
      <c r="C29">
        <v>-154.58147035326061</v>
      </c>
      <c r="D29">
        <f t="shared" si="0"/>
        <v>0.47292958330998763</v>
      </c>
      <c r="E29" s="3">
        <f t="shared" si="1"/>
        <v>-0.1976570338010788</v>
      </c>
    </row>
    <row r="30" spans="1:5" x14ac:dyDescent="0.45">
      <c r="A30" s="2">
        <v>44317</v>
      </c>
      <c r="B30" s="3">
        <v>0.26774391531944275</v>
      </c>
      <c r="C30">
        <v>-60.30901339807388</v>
      </c>
      <c r="D30">
        <f t="shared" si="0"/>
        <v>1.1074271548339492</v>
      </c>
      <c r="E30" s="3">
        <f t="shared" si="1"/>
        <v>-0.26774391531944275</v>
      </c>
    </row>
    <row r="31" spans="1:5" x14ac:dyDescent="0.45">
      <c r="A31" s="2">
        <v>44348</v>
      </c>
      <c r="B31" s="3">
        <v>0.21203798055648804</v>
      </c>
      <c r="C31">
        <v>-104.5627764355698</v>
      </c>
      <c r="D31">
        <f t="shared" si="0"/>
        <v>0.80957870487326156</v>
      </c>
      <c r="E31" s="3">
        <f t="shared" si="1"/>
        <v>-0.21203798055648804</v>
      </c>
    </row>
    <row r="32" spans="1:5" x14ac:dyDescent="0.45">
      <c r="A32" s="2">
        <v>44378</v>
      </c>
      <c r="B32" s="3">
        <v>0.1857096403837204</v>
      </c>
      <c r="C32">
        <v>-118.3746907392688</v>
      </c>
      <c r="D32">
        <f t="shared" si="0"/>
        <v>0.71661808448803122</v>
      </c>
      <c r="E32" s="3">
        <f t="shared" si="1"/>
        <v>-0.1857096403837204</v>
      </c>
    </row>
    <row r="33" spans="1:5" x14ac:dyDescent="0.45">
      <c r="A33" s="2">
        <v>44409</v>
      </c>
      <c r="B33" s="3">
        <v>0.20002000033855438</v>
      </c>
      <c r="C33">
        <v>-105.1790845874396</v>
      </c>
      <c r="D33">
        <f t="shared" si="0"/>
        <v>0.80543066377725303</v>
      </c>
      <c r="E33" s="3">
        <f t="shared" si="1"/>
        <v>-0.20002000033855438</v>
      </c>
    </row>
    <row r="34" spans="1:5" x14ac:dyDescent="0.45">
      <c r="A34" s="2">
        <v>44440</v>
      </c>
      <c r="B34" s="3">
        <v>0.27943727374076843</v>
      </c>
      <c r="C34">
        <v>-124.6736100886435</v>
      </c>
      <c r="D34">
        <f t="shared" si="0"/>
        <v>0.674223421619497</v>
      </c>
      <c r="E34" s="3">
        <f t="shared" si="1"/>
        <v>-0.27943727374076843</v>
      </c>
    </row>
    <row r="35" spans="1:5" x14ac:dyDescent="0.45">
      <c r="A35" s="2">
        <v>44470</v>
      </c>
      <c r="B35" s="3">
        <v>0.211962029337883</v>
      </c>
      <c r="C35">
        <v>-97.901735886799486</v>
      </c>
      <c r="D35">
        <f t="shared" si="0"/>
        <v>0.85441061218237579</v>
      </c>
      <c r="E35" s="3">
        <f t="shared" si="1"/>
        <v>-0.211962029337883</v>
      </c>
    </row>
    <row r="36" spans="1:5" x14ac:dyDescent="0.45">
      <c r="A36" s="2">
        <v>44501</v>
      </c>
      <c r="B36" s="3">
        <v>0.17552413046360016</v>
      </c>
      <c r="C36">
        <v>-74.97680219252662</v>
      </c>
      <c r="D36">
        <f t="shared" si="0"/>
        <v>1.0087061002407645</v>
      </c>
      <c r="E36" s="3">
        <f t="shared" si="1"/>
        <v>-0.17552413046360016</v>
      </c>
    </row>
    <row r="37" spans="1:5" x14ac:dyDescent="0.45">
      <c r="A37" s="2">
        <v>44531</v>
      </c>
      <c r="B37" s="3">
        <v>0.16745318472385406</v>
      </c>
      <c r="C37">
        <v>-110.0426161159792</v>
      </c>
      <c r="D37">
        <f t="shared" si="0"/>
        <v>0.77269682991360922</v>
      </c>
      <c r="E37" s="3">
        <f t="shared" si="1"/>
        <v>-0.16745318472385406</v>
      </c>
    </row>
    <row r="38" spans="1:5" x14ac:dyDescent="0.45">
      <c r="A38" s="2">
        <v>44562</v>
      </c>
      <c r="B38" s="3">
        <v>0.3454836905002594</v>
      </c>
      <c r="C38">
        <v>-139.32869739189121</v>
      </c>
      <c r="D38">
        <f t="shared" si="0"/>
        <v>0.57558785398172452</v>
      </c>
      <c r="E38" s="3">
        <f t="shared" si="1"/>
        <v>-0.3454836905002594</v>
      </c>
    </row>
    <row r="39" spans="1:5" x14ac:dyDescent="0.45">
      <c r="A39" s="2">
        <v>44593</v>
      </c>
      <c r="B39" s="3">
        <v>0.31749334931373596</v>
      </c>
      <c r="C39">
        <v>-96.777045389657545</v>
      </c>
      <c r="D39">
        <f t="shared" si="0"/>
        <v>0.86198030339655385</v>
      </c>
      <c r="E39" s="3">
        <f t="shared" si="1"/>
        <v>-0.31749334931373596</v>
      </c>
    </row>
    <row r="40" spans="1:5" x14ac:dyDescent="0.45">
      <c r="A40" s="2">
        <v>44621</v>
      </c>
      <c r="B40" s="3">
        <v>0.74716079235076904</v>
      </c>
      <c r="C40">
        <v>-177.9238348061904</v>
      </c>
      <c r="D40">
        <f t="shared" si="0"/>
        <v>0.31582459169985511</v>
      </c>
      <c r="E40" s="3">
        <f t="shared" si="1"/>
        <v>-0.74716079235076904</v>
      </c>
    </row>
    <row r="41" spans="1:5" x14ac:dyDescent="0.45">
      <c r="A41" s="2">
        <v>44652</v>
      </c>
      <c r="B41" s="3">
        <v>0.31486526131629944</v>
      </c>
      <c r="C41">
        <v>-115.8127101354336</v>
      </c>
      <c r="D41">
        <f t="shared" si="0"/>
        <v>0.73386140797749588</v>
      </c>
      <c r="E41" s="3">
        <f t="shared" si="1"/>
        <v>-0.31486526131629944</v>
      </c>
    </row>
    <row r="42" spans="1:5" x14ac:dyDescent="0.45">
      <c r="A42" s="2">
        <v>44682</v>
      </c>
      <c r="B42" s="3">
        <v>0.4622395932674408</v>
      </c>
      <c r="C42">
        <v>-211.91565167447021</v>
      </c>
      <c r="D42">
        <f t="shared" si="0"/>
        <v>8.704382209645771E-2</v>
      </c>
      <c r="E42" s="3">
        <f t="shared" si="1"/>
        <v>-0.4622395932674408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04B7-C818-4B78-925B-BF960823A8C6}">
  <dimension ref="A1:B3"/>
  <sheetViews>
    <sheetView workbookViewId="0">
      <selection activeCell="H27" sqref="H27"/>
    </sheetView>
  </sheetViews>
  <sheetFormatPr defaultRowHeight="14.25" x14ac:dyDescent="0.45"/>
  <sheetData>
    <row r="1" spans="1:2" x14ac:dyDescent="0.45">
      <c r="B1" t="s">
        <v>9</v>
      </c>
    </row>
    <row r="2" spans="1:2" x14ac:dyDescent="0.45">
      <c r="A2" t="s">
        <v>3</v>
      </c>
      <c r="B2">
        <v>4.6050069369983366E-3</v>
      </c>
    </row>
    <row r="3" spans="1:2" x14ac:dyDescent="0.45">
      <c r="A3" t="s">
        <v>4</v>
      </c>
      <c r="B3">
        <v>0.97719999999999996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2022-06-23T18:44:56Z</dcterms:created>
  <dcterms:modified xsi:type="dcterms:W3CDTF">2022-06-27T13:24:17Z</dcterms:modified>
</cp:coreProperties>
</file>