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PAESI\"/>
    </mc:Choice>
  </mc:AlternateContent>
  <xr:revisionPtr revIDLastSave="0" documentId="13_ncr:1_{E33B1CCA-C1D0-4416-BF12-D600DA4F0B77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CWTeIac" sheetId="1" r:id="rId1"/>
    <sheet name="CORR" sheetId="2" r:id="rId2"/>
    <sheet name="Sheet1" sheetId="3" r:id="rId3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F3" i="1"/>
  <c r="F2" i="1"/>
  <c r="G4" i="1"/>
</calcChain>
</file>

<file path=xl/sharedStrings.xml><?xml version="1.0" encoding="utf-8"?>
<sst xmlns="http://schemas.openxmlformats.org/spreadsheetml/2006/main" count="13" uniqueCount="13">
  <si>
    <t>CWT_ID</t>
  </si>
  <si>
    <t>month</t>
  </si>
  <si>
    <t>GPRC_CHN</t>
  </si>
  <si>
    <t>MEDIA</t>
  </si>
  <si>
    <t>STD DEV</t>
  </si>
  <si>
    <t>corr</t>
  </si>
  <si>
    <t>CWT_STAND</t>
  </si>
  <si>
    <t>CORR</t>
  </si>
  <si>
    <t>0,00468</t>
  </si>
  <si>
    <t>CHINA</t>
  </si>
  <si>
    <t>p-value</t>
  </si>
  <si>
    <t>0,97679</t>
  </si>
  <si>
    <t xml:space="preserve"> -GPRC_CHN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</si>
</sst>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              CORR= 0,004688</a:t>
            </a:r>
          </a:p>
        </c:rich>
      </c:tx>
      <c:layout>
        <c:manualLayout>
          <c:xMode val="edge"/>
          <c:yMode val="edge"/>
          <c:x val="0.36992514583435604"/>
          <c:y val="2.4005995828249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CWTeIac!$B$1</c:f>
              <c:strCache>
                <c:ptCount val="1"/>
                <c:pt idx="0">
                  <c:v>GPRC_CHN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CWTeIac!$A$2:$A$42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xVal>
          <c:yVal>
            <c:numRef>
              <c:f>CWTeIac!$B$2:$B$42</c:f>
              <c:numCache>
                <c:formatCode>#,##0.00</c:formatCode>
                <c:ptCount val="41"/>
                <c:pt idx="0">
                  <c:v>0.92647683620452881</c:v>
                </c:pt>
                <c:pt idx="1">
                  <c:v>1.071664571762085</c:v>
                </c:pt>
                <c:pt idx="2">
                  <c:v>0.77166932821273804</c:v>
                </c:pt>
                <c:pt idx="3">
                  <c:v>0.55958455801010132</c:v>
                </c:pt>
                <c:pt idx="4">
                  <c:v>1.1733860969543457</c:v>
                </c:pt>
                <c:pt idx="5">
                  <c:v>1.2943308353424072</c:v>
                </c:pt>
                <c:pt idx="6">
                  <c:v>0.75657021999359131</c:v>
                </c:pt>
                <c:pt idx="7">
                  <c:v>1.2167065143585205</c:v>
                </c:pt>
                <c:pt idx="8">
                  <c:v>0.72633862495422363</c:v>
                </c:pt>
                <c:pt idx="9">
                  <c:v>0.6726645827293396</c:v>
                </c:pt>
                <c:pt idx="10">
                  <c:v>0.6029929518699646</c:v>
                </c:pt>
                <c:pt idx="11">
                  <c:v>0.60188329219818115</c:v>
                </c:pt>
                <c:pt idx="12">
                  <c:v>1.2574454545974731</c:v>
                </c:pt>
                <c:pt idx="13">
                  <c:v>0.87382966279983521</c:v>
                </c:pt>
                <c:pt idx="14">
                  <c:v>0.67128443717956543</c:v>
                </c:pt>
                <c:pt idx="15">
                  <c:v>0.60350030660629272</c:v>
                </c:pt>
                <c:pt idx="16">
                  <c:v>0.76153570413589478</c:v>
                </c:pt>
                <c:pt idx="17">
                  <c:v>0.77057957649230957</c:v>
                </c:pt>
                <c:pt idx="18">
                  <c:v>0.92713445425033569</c:v>
                </c:pt>
                <c:pt idx="19">
                  <c:v>0.66343116760253906</c:v>
                </c:pt>
                <c:pt idx="20">
                  <c:v>0.86036926507949829</c:v>
                </c:pt>
                <c:pt idx="21">
                  <c:v>0.64959716796875</c:v>
                </c:pt>
                <c:pt idx="22">
                  <c:v>0.41756528615951538</c:v>
                </c:pt>
                <c:pt idx="23">
                  <c:v>0.59490084648132324</c:v>
                </c:pt>
                <c:pt idx="24">
                  <c:v>0.80387318134307861</c:v>
                </c:pt>
                <c:pt idx="25">
                  <c:v>0.73551487922668457</c:v>
                </c:pt>
                <c:pt idx="26">
                  <c:v>0.86440986394882202</c:v>
                </c:pt>
                <c:pt idx="27">
                  <c:v>0.75688183307647705</c:v>
                </c:pt>
                <c:pt idx="28">
                  <c:v>0.64822208881378174</c:v>
                </c:pt>
                <c:pt idx="29">
                  <c:v>0.75659006834030151</c:v>
                </c:pt>
                <c:pt idx="30">
                  <c:v>0.54320073127746582</c:v>
                </c:pt>
                <c:pt idx="31">
                  <c:v>0.60506051778793335</c:v>
                </c:pt>
                <c:pt idx="32">
                  <c:v>0.85758334398269653</c:v>
                </c:pt>
                <c:pt idx="33">
                  <c:v>0.79255366325378418</c:v>
                </c:pt>
                <c:pt idx="34">
                  <c:v>0.81423693895339966</c:v>
                </c:pt>
                <c:pt idx="35">
                  <c:v>0.88293498754501343</c:v>
                </c:pt>
                <c:pt idx="36">
                  <c:v>0.8261566162109375</c:v>
                </c:pt>
                <c:pt idx="37">
                  <c:v>1.5198043584823608</c:v>
                </c:pt>
                <c:pt idx="38">
                  <c:v>2.6001195907592773</c:v>
                </c:pt>
                <c:pt idx="39">
                  <c:v>1.1504693031311035</c:v>
                </c:pt>
                <c:pt idx="40">
                  <c:v>0.95703125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1-4EF5-A78A-08B1AEAD53A1}"/>
            </c:ext>
          </c:extLst>
        </c:ser>
        <c:ser>
          <c:idx val="1"/>
          <c:order val="1"/>
          <c:tx>
            <c:strRef>
              <c:f>CWTeIac!$D$1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CWTeIac!$A$2:$A$42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xVal>
          <c:yVal>
            <c:numRef>
              <c:f>CWTeIac!$D$2:$D$42</c:f>
              <c:numCache>
                <c:formatCode>General</c:formatCode>
                <c:ptCount val="41"/>
                <c:pt idx="0">
                  <c:v>-0.22663030619674623</c:v>
                </c:pt>
                <c:pt idx="1">
                  <c:v>0.32020186731441652</c:v>
                </c:pt>
                <c:pt idx="2">
                  <c:v>0.17116184001549653</c:v>
                </c:pt>
                <c:pt idx="3">
                  <c:v>0.53681995117222436</c:v>
                </c:pt>
                <c:pt idx="4">
                  <c:v>0.51806706585741402</c:v>
                </c:pt>
                <c:pt idx="5">
                  <c:v>0.81744094760144659</c:v>
                </c:pt>
                <c:pt idx="6">
                  <c:v>1.1981429905619183</c:v>
                </c:pt>
                <c:pt idx="7">
                  <c:v>-0.40156185625748747</c:v>
                </c:pt>
                <c:pt idx="8">
                  <c:v>-8.9376818572742406E-2</c:v>
                </c:pt>
                <c:pt idx="9">
                  <c:v>-0.14763632828042728</c:v>
                </c:pt>
                <c:pt idx="10">
                  <c:v>-0.24528386049258552</c:v>
                </c:pt>
                <c:pt idx="11">
                  <c:v>0.31030496439341654</c:v>
                </c:pt>
                <c:pt idx="12">
                  <c:v>-1.4315311001580202</c:v>
                </c:pt>
                <c:pt idx="13">
                  <c:v>-3.9678896775876447</c:v>
                </c:pt>
                <c:pt idx="14">
                  <c:v>-2.3856671904666418</c:v>
                </c:pt>
                <c:pt idx="15">
                  <c:v>-1.6747287952273389</c:v>
                </c:pt>
                <c:pt idx="16">
                  <c:v>-1.3059067712095762</c:v>
                </c:pt>
                <c:pt idx="17">
                  <c:v>-1.0805843567453035</c:v>
                </c:pt>
                <c:pt idx="18">
                  <c:v>-1.0447601039552525</c:v>
                </c:pt>
                <c:pt idx="19">
                  <c:v>-4.9773976792996881E-2</c:v>
                </c:pt>
                <c:pt idx="20">
                  <c:v>6.3120422463872256E-2</c:v>
                </c:pt>
                <c:pt idx="21">
                  <c:v>0.71801527062445392</c:v>
                </c:pt>
                <c:pt idx="22">
                  <c:v>0.87023284500408449</c:v>
                </c:pt>
                <c:pt idx="23">
                  <c:v>0.2591086109056211</c:v>
                </c:pt>
                <c:pt idx="24">
                  <c:v>4.1144953201755305E-2</c:v>
                </c:pt>
                <c:pt idx="25">
                  <c:v>0.33871518044834242</c:v>
                </c:pt>
                <c:pt idx="26">
                  <c:v>-7.1804881740769641E-2</c:v>
                </c:pt>
                <c:pt idx="27">
                  <c:v>0.43711156595298672</c:v>
                </c:pt>
                <c:pt idx="28">
                  <c:v>0.52220052135566997</c:v>
                </c:pt>
                <c:pt idx="29">
                  <c:v>0.51959233681866002</c:v>
                </c:pt>
                <c:pt idx="30">
                  <c:v>0.4981897454160617</c:v>
                </c:pt>
                <c:pt idx="31">
                  <c:v>0.4885478595340173</c:v>
                </c:pt>
                <c:pt idx="32">
                  <c:v>0.57298297163731793</c:v>
                </c:pt>
                <c:pt idx="33">
                  <c:v>0.80574103208583236</c:v>
                </c:pt>
                <c:pt idx="34">
                  <c:v>0.91811864872560334</c:v>
                </c:pt>
                <c:pt idx="35">
                  <c:v>0.7659524583695414</c:v>
                </c:pt>
                <c:pt idx="36">
                  <c:v>0.79895678739049514</c:v>
                </c:pt>
                <c:pt idx="37">
                  <c:v>0.61407780327133299</c:v>
                </c:pt>
                <c:pt idx="38">
                  <c:v>0.1031252554587328</c:v>
                </c:pt>
                <c:pt idx="39">
                  <c:v>0.37607583286333474</c:v>
                </c:pt>
                <c:pt idx="40">
                  <c:v>0.5399862952394815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1-4EF5-A78A-08B1AEAD5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451039"/>
        <c:axId val="574285871"/>
      </c:scatterChart>
      <c:valAx>
        <c:axId val="67345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85871"/>
        <c:crosses val="autoZero"/>
        <c:crossBetween val="midCat"/>
      </c:valAx>
      <c:valAx>
        <c:axId val="57428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5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CWTeIac!$B$1</c:f>
              <c:strCache>
                <c:ptCount val="1"/>
                <c:pt idx="0">
                  <c:v>GPRC_CHN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CWTeIac!$A$2:$A$42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CWTeIac!$B$2:$B$42</c:f>
              <c:numCache>
                <c:formatCode>#,##0.00</c:formatCode>
                <c:ptCount val="41"/>
                <c:pt idx="0">
                  <c:v>0.92647683620452881</c:v>
                </c:pt>
                <c:pt idx="1">
                  <c:v>1.071664571762085</c:v>
                </c:pt>
                <c:pt idx="2">
                  <c:v>0.77166932821273804</c:v>
                </c:pt>
                <c:pt idx="3">
                  <c:v>0.55958455801010132</c:v>
                </c:pt>
                <c:pt idx="4">
                  <c:v>1.1733860969543457</c:v>
                </c:pt>
                <c:pt idx="5">
                  <c:v>1.2943308353424072</c:v>
                </c:pt>
                <c:pt idx="6">
                  <c:v>0.75657021999359131</c:v>
                </c:pt>
                <c:pt idx="7">
                  <c:v>1.2167065143585205</c:v>
                </c:pt>
                <c:pt idx="8">
                  <c:v>0.72633862495422363</c:v>
                </c:pt>
                <c:pt idx="9">
                  <c:v>0.6726645827293396</c:v>
                </c:pt>
                <c:pt idx="10">
                  <c:v>0.6029929518699646</c:v>
                </c:pt>
                <c:pt idx="11">
                  <c:v>0.60188329219818115</c:v>
                </c:pt>
                <c:pt idx="12">
                  <c:v>1.2574454545974731</c:v>
                </c:pt>
                <c:pt idx="13">
                  <c:v>0.87382966279983521</c:v>
                </c:pt>
                <c:pt idx="14">
                  <c:v>0.67128443717956543</c:v>
                </c:pt>
                <c:pt idx="15">
                  <c:v>0.60350030660629272</c:v>
                </c:pt>
                <c:pt idx="16">
                  <c:v>0.76153570413589478</c:v>
                </c:pt>
                <c:pt idx="17">
                  <c:v>0.77057957649230957</c:v>
                </c:pt>
                <c:pt idx="18">
                  <c:v>0.92713445425033569</c:v>
                </c:pt>
                <c:pt idx="19">
                  <c:v>0.66343116760253906</c:v>
                </c:pt>
                <c:pt idx="20">
                  <c:v>0.86036926507949829</c:v>
                </c:pt>
                <c:pt idx="21">
                  <c:v>0.64959716796875</c:v>
                </c:pt>
                <c:pt idx="22">
                  <c:v>0.41756528615951538</c:v>
                </c:pt>
                <c:pt idx="23">
                  <c:v>0.59490084648132324</c:v>
                </c:pt>
                <c:pt idx="24">
                  <c:v>0.80387318134307861</c:v>
                </c:pt>
                <c:pt idx="25">
                  <c:v>0.73551487922668457</c:v>
                </c:pt>
                <c:pt idx="26">
                  <c:v>0.86440986394882202</c:v>
                </c:pt>
                <c:pt idx="27">
                  <c:v>0.75688183307647705</c:v>
                </c:pt>
                <c:pt idx="28">
                  <c:v>0.64822208881378174</c:v>
                </c:pt>
                <c:pt idx="29">
                  <c:v>0.75659006834030151</c:v>
                </c:pt>
                <c:pt idx="30">
                  <c:v>0.54320073127746582</c:v>
                </c:pt>
                <c:pt idx="31">
                  <c:v>0.60506051778793335</c:v>
                </c:pt>
                <c:pt idx="32">
                  <c:v>0.85758334398269653</c:v>
                </c:pt>
                <c:pt idx="33">
                  <c:v>0.79255366325378418</c:v>
                </c:pt>
                <c:pt idx="34">
                  <c:v>0.81423693895339966</c:v>
                </c:pt>
                <c:pt idx="35">
                  <c:v>0.88293498754501343</c:v>
                </c:pt>
                <c:pt idx="36">
                  <c:v>0.8261566162109375</c:v>
                </c:pt>
                <c:pt idx="37">
                  <c:v>1.5198043584823608</c:v>
                </c:pt>
                <c:pt idx="38">
                  <c:v>2.6001195907592773</c:v>
                </c:pt>
                <c:pt idx="39">
                  <c:v>1.1504693031311035</c:v>
                </c:pt>
                <c:pt idx="40">
                  <c:v>0.95703125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0-454A-BA51-1BE3BACFD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426911"/>
        <c:axId val="279813231"/>
      </c:lineChart>
      <c:lineChart>
        <c:grouping val="standard"/>
        <c:varyColors val="0"/>
        <c:ser>
          <c:idx val="1"/>
          <c:order val="1"/>
          <c:tx>
            <c:strRef>
              <c:f>CWTeIac!$C$1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CWTeIac!$A$2:$A$42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CWTeIac!$C$2:$C$42</c:f>
              <c:numCache>
                <c:formatCode>General</c:formatCode>
                <c:ptCount val="41"/>
                <c:pt idx="0">
                  <c:v>-1502.7378168672819</c:v>
                </c:pt>
                <c:pt idx="1">
                  <c:v>-919.17908969386269</c:v>
                </c:pt>
                <c:pt idx="2">
                  <c:v>-1078.2290008759339</c:v>
                </c:pt>
                <c:pt idx="3">
                  <c:v>-688.01241841491526</c:v>
                </c:pt>
                <c:pt idx="4">
                  <c:v>-708.02479225691707</c:v>
                </c:pt>
                <c:pt idx="5">
                  <c:v>-388.54424622802281</c:v>
                </c:pt>
                <c:pt idx="6">
                  <c:v>17.726654395563401</c:v>
                </c:pt>
                <c:pt idx="7">
                  <c:v>-1689.418187264024</c:v>
                </c:pt>
                <c:pt idx="8">
                  <c:v>-1356.266057490561</c:v>
                </c:pt>
                <c:pt idx="9">
                  <c:v>-1418.4384148931381</c:v>
                </c:pt>
                <c:pt idx="10">
                  <c:v>-1522.644188382048</c:v>
                </c:pt>
                <c:pt idx="11">
                  <c:v>-929.74069223172023</c:v>
                </c:pt>
                <c:pt idx="12">
                  <c:v>-2788.5626233696921</c:v>
                </c:pt>
                <c:pt idx="13">
                  <c:v>-5495.2690952960402</c:v>
                </c:pt>
                <c:pt idx="14">
                  <c:v>-3806.7807703298322</c:v>
                </c:pt>
                <c:pt idx="15">
                  <c:v>-3048.0940559752462</c:v>
                </c:pt>
                <c:pt idx="16">
                  <c:v>-2654.501064715495</c:v>
                </c:pt>
                <c:pt idx="17">
                  <c:v>-2414.0454592156689</c:v>
                </c:pt>
                <c:pt idx="18">
                  <c:v>-2375.815164121896</c:v>
                </c:pt>
                <c:pt idx="19">
                  <c:v>-1314.0033943538119</c:v>
                </c:pt>
                <c:pt idx="20">
                  <c:v>-1193.5267378463259</c:v>
                </c:pt>
                <c:pt idx="21">
                  <c:v>-494.64758892730691</c:v>
                </c:pt>
                <c:pt idx="22">
                  <c:v>-332.20671902009911</c:v>
                </c:pt>
                <c:pt idx="23">
                  <c:v>-984.37551498808182</c:v>
                </c:pt>
                <c:pt idx="24">
                  <c:v>-1216.9781320634911</c:v>
                </c:pt>
                <c:pt idx="25">
                  <c:v>-899.42237827209738</c:v>
                </c:pt>
                <c:pt idx="26">
                  <c:v>-1337.5139474495661</c:v>
                </c:pt>
                <c:pt idx="27">
                  <c:v>-794.41745671661181</c:v>
                </c:pt>
                <c:pt idx="28">
                  <c:v>-703.61372402385712</c:v>
                </c:pt>
                <c:pt idx="29">
                  <c:v>-706.39708045820544</c:v>
                </c:pt>
                <c:pt idx="30">
                  <c:v>-729.23712097176542</c:v>
                </c:pt>
                <c:pt idx="31">
                  <c:v>-739.52657891779154</c:v>
                </c:pt>
                <c:pt idx="32">
                  <c:v>-649.42060320065275</c:v>
                </c:pt>
                <c:pt idx="33">
                  <c:v>-401.02995598882382</c:v>
                </c:pt>
                <c:pt idx="34">
                  <c:v>-281.10479045218318</c:v>
                </c:pt>
                <c:pt idx="35">
                  <c:v>-443.49082526218331</c:v>
                </c:pt>
                <c:pt idx="36">
                  <c:v>-408.26984674693989</c:v>
                </c:pt>
                <c:pt idx="37">
                  <c:v>-605.56574461073058</c:v>
                </c:pt>
                <c:pt idx="38">
                  <c:v>-1150.835084805195</c:v>
                </c:pt>
                <c:pt idx="39">
                  <c:v>-859.55249528830768</c:v>
                </c:pt>
                <c:pt idx="40">
                  <c:v>-684.63341512434897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0-454A-BA51-1BE3BACFD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458511"/>
        <c:axId val="279813647"/>
      </c:lineChart>
      <c:dateAx>
        <c:axId val="7574269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13231"/>
        <c:crosses val="autoZero"/>
        <c:auto val="1"/>
        <c:lblOffset val="100"/>
        <c:baseTimeUnit val="months"/>
        <c:majorUnit val="1"/>
        <c:majorTimeUnit val="months"/>
      </c:dateAx>
      <c:valAx>
        <c:axId val="2798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26911"/>
        <c:crosses val="autoZero"/>
        <c:crossBetween val="between"/>
      </c:valAx>
      <c:valAx>
        <c:axId val="2798136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8511"/>
        <c:crosses val="max"/>
        <c:crossBetween val="between"/>
      </c:valAx>
      <c:dateAx>
        <c:axId val="7574585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981364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    CORR=0.0046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CWTeIac!$D$1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CWTeIac!$A$2:$A$42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CWTeIac!$D$2:$D$42</c:f>
              <c:numCache>
                <c:formatCode>General</c:formatCode>
                <c:ptCount val="41"/>
                <c:pt idx="0">
                  <c:v>-0.22663030619674623</c:v>
                </c:pt>
                <c:pt idx="1">
                  <c:v>0.32020186731441652</c:v>
                </c:pt>
                <c:pt idx="2">
                  <c:v>0.17116184001549653</c:v>
                </c:pt>
                <c:pt idx="3">
                  <c:v>0.53681995117222436</c:v>
                </c:pt>
                <c:pt idx="4">
                  <c:v>0.51806706585741402</c:v>
                </c:pt>
                <c:pt idx="5">
                  <c:v>0.81744094760144659</c:v>
                </c:pt>
                <c:pt idx="6">
                  <c:v>1.1981429905619183</c:v>
                </c:pt>
                <c:pt idx="7">
                  <c:v>-0.40156185625748747</c:v>
                </c:pt>
                <c:pt idx="8">
                  <c:v>-8.9376818572742406E-2</c:v>
                </c:pt>
                <c:pt idx="9">
                  <c:v>-0.14763632828042728</c:v>
                </c:pt>
                <c:pt idx="10">
                  <c:v>-0.24528386049258552</c:v>
                </c:pt>
                <c:pt idx="11">
                  <c:v>0.31030496439341654</c:v>
                </c:pt>
                <c:pt idx="12">
                  <c:v>-1.4315311001580202</c:v>
                </c:pt>
                <c:pt idx="13">
                  <c:v>-3.9678896775876447</c:v>
                </c:pt>
                <c:pt idx="14">
                  <c:v>-2.3856671904666418</c:v>
                </c:pt>
                <c:pt idx="15">
                  <c:v>-1.6747287952273389</c:v>
                </c:pt>
                <c:pt idx="16">
                  <c:v>-1.3059067712095762</c:v>
                </c:pt>
                <c:pt idx="17">
                  <c:v>-1.0805843567453035</c:v>
                </c:pt>
                <c:pt idx="18">
                  <c:v>-1.0447601039552525</c:v>
                </c:pt>
                <c:pt idx="19">
                  <c:v>-4.9773976792996881E-2</c:v>
                </c:pt>
                <c:pt idx="20">
                  <c:v>6.3120422463872256E-2</c:v>
                </c:pt>
                <c:pt idx="21">
                  <c:v>0.71801527062445392</c:v>
                </c:pt>
                <c:pt idx="22">
                  <c:v>0.87023284500408449</c:v>
                </c:pt>
                <c:pt idx="23">
                  <c:v>0.2591086109056211</c:v>
                </c:pt>
                <c:pt idx="24">
                  <c:v>4.1144953201755305E-2</c:v>
                </c:pt>
                <c:pt idx="25">
                  <c:v>0.33871518044834242</c:v>
                </c:pt>
                <c:pt idx="26">
                  <c:v>-7.1804881740769641E-2</c:v>
                </c:pt>
                <c:pt idx="27">
                  <c:v>0.43711156595298672</c:v>
                </c:pt>
                <c:pt idx="28">
                  <c:v>0.52220052135566997</c:v>
                </c:pt>
                <c:pt idx="29">
                  <c:v>0.51959233681866002</c:v>
                </c:pt>
                <c:pt idx="30">
                  <c:v>0.4981897454160617</c:v>
                </c:pt>
                <c:pt idx="31">
                  <c:v>0.4885478595340173</c:v>
                </c:pt>
                <c:pt idx="32">
                  <c:v>0.57298297163731793</c:v>
                </c:pt>
                <c:pt idx="33">
                  <c:v>0.80574103208583236</c:v>
                </c:pt>
                <c:pt idx="34">
                  <c:v>0.91811864872560334</c:v>
                </c:pt>
                <c:pt idx="35">
                  <c:v>0.7659524583695414</c:v>
                </c:pt>
                <c:pt idx="36">
                  <c:v>0.79895678739049514</c:v>
                </c:pt>
                <c:pt idx="37">
                  <c:v>0.61407780327133299</c:v>
                </c:pt>
                <c:pt idx="38">
                  <c:v>0.1031252554587328</c:v>
                </c:pt>
                <c:pt idx="39">
                  <c:v>0.37607583286333474</c:v>
                </c:pt>
                <c:pt idx="40">
                  <c:v>0.5399862952394815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1-493A-B202-6A8FE8EA3E95}"/>
            </c:ext>
          </c:extLst>
        </c:ser>
        <c:ser>
          <c:idx val="1"/>
          <c:order val="1"/>
          <c:tx>
            <c:strRef>
              <c:f>CWTeIac!$E$1</c:f>
              <c:strCache>
                <c:ptCount val="1"/>
                <c:pt idx="0">
                  <c:v> -GPRC_CHN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CWTeIac!$A$2:$A$42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CWTeIac!$E$2:$E$42</c:f>
              <c:numCache>
                <c:formatCode>#,##0.00</c:formatCode>
                <c:ptCount val="41"/>
                <c:pt idx="0">
                  <c:v>-0.92647683620452881</c:v>
                </c:pt>
                <c:pt idx="1">
                  <c:v>-1.071664571762085</c:v>
                </c:pt>
                <c:pt idx="2">
                  <c:v>-0.77166932821273804</c:v>
                </c:pt>
                <c:pt idx="3">
                  <c:v>-0.55958455801010132</c:v>
                </c:pt>
                <c:pt idx="4">
                  <c:v>-1.1733860969543457</c:v>
                </c:pt>
                <c:pt idx="5">
                  <c:v>-1.2943308353424072</c:v>
                </c:pt>
                <c:pt idx="6">
                  <c:v>-0.75657021999359131</c:v>
                </c:pt>
                <c:pt idx="7">
                  <c:v>-1.2167065143585205</c:v>
                </c:pt>
                <c:pt idx="8">
                  <c:v>-0.72633862495422363</c:v>
                </c:pt>
                <c:pt idx="9">
                  <c:v>-0.6726645827293396</c:v>
                </c:pt>
                <c:pt idx="10">
                  <c:v>-0.6029929518699646</c:v>
                </c:pt>
                <c:pt idx="11">
                  <c:v>-0.60188329219818115</c:v>
                </c:pt>
                <c:pt idx="12">
                  <c:v>-1.2574454545974731</c:v>
                </c:pt>
                <c:pt idx="13">
                  <c:v>-0.87382966279983521</c:v>
                </c:pt>
                <c:pt idx="14">
                  <c:v>-0.67128443717956543</c:v>
                </c:pt>
                <c:pt idx="15">
                  <c:v>-0.60350030660629272</c:v>
                </c:pt>
                <c:pt idx="16">
                  <c:v>-0.76153570413589478</c:v>
                </c:pt>
                <c:pt idx="17">
                  <c:v>-0.77057957649230957</c:v>
                </c:pt>
                <c:pt idx="18">
                  <c:v>-0.92713445425033569</c:v>
                </c:pt>
                <c:pt idx="19">
                  <c:v>-0.66343116760253906</c:v>
                </c:pt>
                <c:pt idx="20">
                  <c:v>-0.86036926507949829</c:v>
                </c:pt>
                <c:pt idx="21">
                  <c:v>-0.64959716796875</c:v>
                </c:pt>
                <c:pt idx="22">
                  <c:v>-0.41756528615951538</c:v>
                </c:pt>
                <c:pt idx="23">
                  <c:v>-0.59490084648132324</c:v>
                </c:pt>
                <c:pt idx="24">
                  <c:v>-0.80387318134307861</c:v>
                </c:pt>
                <c:pt idx="25">
                  <c:v>-0.73551487922668457</c:v>
                </c:pt>
                <c:pt idx="26">
                  <c:v>-0.86440986394882202</c:v>
                </c:pt>
                <c:pt idx="27">
                  <c:v>-0.75688183307647705</c:v>
                </c:pt>
                <c:pt idx="28">
                  <c:v>-0.64822208881378174</c:v>
                </c:pt>
                <c:pt idx="29">
                  <c:v>-0.75659006834030151</c:v>
                </c:pt>
                <c:pt idx="30">
                  <c:v>-0.54320073127746582</c:v>
                </c:pt>
                <c:pt idx="31">
                  <c:v>-0.60506051778793335</c:v>
                </c:pt>
                <c:pt idx="32">
                  <c:v>-0.85758334398269653</c:v>
                </c:pt>
                <c:pt idx="33">
                  <c:v>-0.79255366325378418</c:v>
                </c:pt>
                <c:pt idx="34">
                  <c:v>-0.81423693895339966</c:v>
                </c:pt>
                <c:pt idx="35">
                  <c:v>-0.88293498754501343</c:v>
                </c:pt>
                <c:pt idx="36">
                  <c:v>-0.8261566162109375</c:v>
                </c:pt>
                <c:pt idx="37">
                  <c:v>-1.5198043584823608</c:v>
                </c:pt>
                <c:pt idx="38">
                  <c:v>-2.6001195907592773</c:v>
                </c:pt>
                <c:pt idx="39">
                  <c:v>-1.1504693031311035</c:v>
                </c:pt>
                <c:pt idx="40">
                  <c:v>-0.95703125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1-493A-B202-6A8FE8EA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868336"/>
        <c:axId val="436742832"/>
      </c:lineChart>
      <c:dateAx>
        <c:axId val="452868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42832"/>
        <c:crosses val="autoZero"/>
        <c:auto val="1"/>
        <c:lblOffset val="100"/>
        <c:baseTimeUnit val="months"/>
      </c:dateAx>
      <c:valAx>
        <c:axId val="4367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6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6</xdr:row>
      <xdr:rowOff>164305</xdr:rowOff>
    </xdr:from>
    <xdr:to>
      <xdr:col>14</xdr:col>
      <xdr:colOff>561975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DCB22-7DDB-4547-85C4-5157DDB8F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559592</xdr:colOff>
      <xdr:row>26</xdr:row>
      <xdr:rowOff>50006</xdr:rowOff>
    </xdr:from>
    <xdr:to>
      <xdr:col>13</xdr:col>
      <xdr:colOff>380999</xdr:colOff>
      <xdr:row>41</xdr:row>
      <xdr:rowOff>78581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5C1A10-FC4C-4C4F-AFE1-BC47831CE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121443</xdr:colOff>
      <xdr:row>2</xdr:row>
      <xdr:rowOff>116681</xdr:rowOff>
    </xdr:from>
    <xdr:to>
      <xdr:col>18</xdr:col>
      <xdr:colOff>159543</xdr:colOff>
      <xdr:row>17</xdr:row>
      <xdr:rowOff>145256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16D03D-4CBD-488D-BEC3-0647767F0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P13" sqref="P13"/>
    </sheetView>
  </sheetViews>
  <sheetFormatPr defaultRowHeight="14.25" x14ac:dyDescent="0.45"/>
  <sheetData>
    <row r="1" spans="1:7" x14ac:dyDescent="0.45">
      <c r="A1" t="s">
        <v>1</v>
      </c>
      <c r="B1" t="s">
        <v>2</v>
      </c>
      <c r="C1" s="1" t="s">
        <v>0</v>
      </c>
      <c r="D1" t="s">
        <v>6</v>
      </c>
      <c r="E1" t="s">
        <v>12</v>
      </c>
    </row>
    <row r="2" spans="1:7" x14ac:dyDescent="0.45">
      <c r="A2" s="2">
        <v>43466</v>
      </c>
      <c r="B2" s="3">
        <v>0.92647683620452881</v>
      </c>
      <c r="C2">
        <v>-1502.7378168672819</v>
      </c>
      <c r="D2">
        <f>STANDARDIZE(C2,$F$2,$F$3)</f>
        <v>-0.22663030619674623</v>
      </c>
      <c r="E2" s="3">
        <f>-B2</f>
        <v>-0.92647683620452881</v>
      </c>
      <c r="F2">
        <f>AVERAGE(C2:C42)</f>
        <v>-1260.8864785052465</v>
      </c>
      <c r="G2" t="s">
        <v>3</v>
      </c>
    </row>
    <row r="3" spans="1:7" x14ac:dyDescent="0.45">
      <c r="A3" s="2">
        <v>43497</v>
      </c>
      <c r="B3" s="3">
        <v>1.071664571762085</v>
      </c>
      <c r="C3">
        <v>-919.17908969386269</v>
      </c>
      <c r="D3">
        <f t="shared" ref="D3:D42" si="0">STANDARDIZE(C3,$F$2,$F$3)</f>
        <v>0.32020186731441652</v>
      </c>
      <c r="E3" s="3">
        <f t="shared" ref="E3:E42" si="1">-B3</f>
        <v>-1.071664571762085</v>
      </c>
      <c r="F3">
        <f>STDEV(C2:C42)</f>
        <v>1067.162386270066</v>
      </c>
      <c r="G3" t="s">
        <v>4</v>
      </c>
    </row>
    <row r="4" spans="1:7" x14ac:dyDescent="0.45">
      <c r="A4" s="2">
        <v>43525</v>
      </c>
      <c r="B4" s="3">
        <v>0.77166932821273804</v>
      </c>
      <c r="C4">
        <v>-1078.2290008759339</v>
      </c>
      <c r="D4">
        <f t="shared" si="0"/>
        <v>0.17116184001549653</v>
      </c>
      <c r="E4" s="3">
        <f t="shared" si="1"/>
        <v>-0.77166932821273804</v>
      </c>
      <c r="F4" t="s">
        <v>5</v>
      </c>
      <c r="G4">
        <f>CORREL(B2:B42,C2:C42)</f>
        <v>4.6878674523998199E-3</v>
      </c>
    </row>
    <row r="5" spans="1:7" x14ac:dyDescent="0.45">
      <c r="A5" s="2">
        <v>43556</v>
      </c>
      <c r="B5" s="3">
        <v>0.55958455801010132</v>
      </c>
      <c r="C5">
        <v>-688.01241841491526</v>
      </c>
      <c r="D5">
        <f t="shared" si="0"/>
        <v>0.53681995117222436</v>
      </c>
      <c r="E5" s="3">
        <f t="shared" si="1"/>
        <v>-0.55958455801010132</v>
      </c>
    </row>
    <row r="6" spans="1:7" x14ac:dyDescent="0.45">
      <c r="A6" s="2">
        <v>43586</v>
      </c>
      <c r="B6" s="3">
        <v>1.1733860969543457</v>
      </c>
      <c r="C6">
        <v>-708.02479225691707</v>
      </c>
      <c r="D6">
        <f t="shared" si="0"/>
        <v>0.51806706585741402</v>
      </c>
      <c r="E6" s="3">
        <f t="shared" si="1"/>
        <v>-1.1733860969543457</v>
      </c>
    </row>
    <row r="7" spans="1:7" x14ac:dyDescent="0.45">
      <c r="A7" s="2">
        <v>43617</v>
      </c>
      <c r="B7" s="3">
        <v>1.2943308353424072</v>
      </c>
      <c r="C7">
        <v>-388.54424622802281</v>
      </c>
      <c r="D7">
        <f t="shared" si="0"/>
        <v>0.81744094760144659</v>
      </c>
      <c r="E7" s="3">
        <f t="shared" si="1"/>
        <v>-1.2943308353424072</v>
      </c>
    </row>
    <row r="8" spans="1:7" x14ac:dyDescent="0.45">
      <c r="A8" s="2">
        <v>43647</v>
      </c>
      <c r="B8" s="3">
        <v>0.75657021999359131</v>
      </c>
      <c r="C8">
        <v>17.726654395563401</v>
      </c>
      <c r="D8">
        <f t="shared" si="0"/>
        <v>1.1981429905619183</v>
      </c>
      <c r="E8" s="3">
        <f t="shared" si="1"/>
        <v>-0.75657021999359131</v>
      </c>
    </row>
    <row r="9" spans="1:7" x14ac:dyDescent="0.45">
      <c r="A9" s="2">
        <v>43678</v>
      </c>
      <c r="B9" s="3">
        <v>1.2167065143585205</v>
      </c>
      <c r="C9">
        <v>-1689.418187264024</v>
      </c>
      <c r="D9">
        <f t="shared" si="0"/>
        <v>-0.40156185625748747</v>
      </c>
      <c r="E9" s="3">
        <f t="shared" si="1"/>
        <v>-1.2167065143585205</v>
      </c>
    </row>
    <row r="10" spans="1:7" x14ac:dyDescent="0.45">
      <c r="A10" s="2">
        <v>43709</v>
      </c>
      <c r="B10" s="3">
        <v>0.72633862495422363</v>
      </c>
      <c r="C10">
        <v>-1356.266057490561</v>
      </c>
      <c r="D10">
        <f t="shared" si="0"/>
        <v>-8.9376818572742406E-2</v>
      </c>
      <c r="E10" s="3">
        <f t="shared" si="1"/>
        <v>-0.72633862495422363</v>
      </c>
    </row>
    <row r="11" spans="1:7" x14ac:dyDescent="0.45">
      <c r="A11" s="2">
        <v>43739</v>
      </c>
      <c r="B11" s="3">
        <v>0.6726645827293396</v>
      </c>
      <c r="C11">
        <v>-1418.4384148931381</v>
      </c>
      <c r="D11">
        <f t="shared" si="0"/>
        <v>-0.14763632828042728</v>
      </c>
      <c r="E11" s="3">
        <f t="shared" si="1"/>
        <v>-0.6726645827293396</v>
      </c>
    </row>
    <row r="12" spans="1:7" x14ac:dyDescent="0.45">
      <c r="A12" s="2">
        <v>43770</v>
      </c>
      <c r="B12" s="3">
        <v>0.6029929518699646</v>
      </c>
      <c r="C12">
        <v>-1522.644188382048</v>
      </c>
      <c r="D12">
        <f t="shared" si="0"/>
        <v>-0.24528386049258552</v>
      </c>
      <c r="E12" s="3">
        <f t="shared" si="1"/>
        <v>-0.6029929518699646</v>
      </c>
    </row>
    <row r="13" spans="1:7" x14ac:dyDescent="0.45">
      <c r="A13" s="2">
        <v>43800</v>
      </c>
      <c r="B13" s="3">
        <v>0.60188329219818115</v>
      </c>
      <c r="C13">
        <v>-929.74069223172023</v>
      </c>
      <c r="D13">
        <f t="shared" si="0"/>
        <v>0.31030496439341654</v>
      </c>
      <c r="E13" s="3">
        <f t="shared" si="1"/>
        <v>-0.60188329219818115</v>
      </c>
    </row>
    <row r="14" spans="1:7" x14ac:dyDescent="0.45">
      <c r="A14" s="2">
        <v>43831</v>
      </c>
      <c r="B14" s="3">
        <v>1.2574454545974731</v>
      </c>
      <c r="C14">
        <v>-2788.5626233696921</v>
      </c>
      <c r="D14">
        <f t="shared" si="0"/>
        <v>-1.4315311001580202</v>
      </c>
      <c r="E14" s="3">
        <f t="shared" si="1"/>
        <v>-1.2574454545974731</v>
      </c>
    </row>
    <row r="15" spans="1:7" x14ac:dyDescent="0.45">
      <c r="A15" s="2">
        <v>43862</v>
      </c>
      <c r="B15" s="3">
        <v>0.87382966279983521</v>
      </c>
      <c r="C15">
        <v>-5495.2690952960402</v>
      </c>
      <c r="D15">
        <f t="shared" si="0"/>
        <v>-3.9678896775876447</v>
      </c>
      <c r="E15" s="3">
        <f t="shared" si="1"/>
        <v>-0.87382966279983521</v>
      </c>
    </row>
    <row r="16" spans="1:7" x14ac:dyDescent="0.45">
      <c r="A16" s="2">
        <v>43891</v>
      </c>
      <c r="B16" s="3">
        <v>0.67128443717956543</v>
      </c>
      <c r="C16">
        <v>-3806.7807703298322</v>
      </c>
      <c r="D16">
        <f t="shared" si="0"/>
        <v>-2.3856671904666418</v>
      </c>
      <c r="E16" s="3">
        <f t="shared" si="1"/>
        <v>-0.67128443717956543</v>
      </c>
    </row>
    <row r="17" spans="1:5" x14ac:dyDescent="0.45">
      <c r="A17" s="2">
        <v>43922</v>
      </c>
      <c r="B17" s="3">
        <v>0.60350030660629272</v>
      </c>
      <c r="C17">
        <v>-3048.0940559752462</v>
      </c>
      <c r="D17">
        <f t="shared" si="0"/>
        <v>-1.6747287952273389</v>
      </c>
      <c r="E17" s="3">
        <f t="shared" si="1"/>
        <v>-0.60350030660629272</v>
      </c>
    </row>
    <row r="18" spans="1:5" x14ac:dyDescent="0.45">
      <c r="A18" s="2">
        <v>43952</v>
      </c>
      <c r="B18" s="3">
        <v>0.76153570413589478</v>
      </c>
      <c r="C18">
        <v>-2654.501064715495</v>
      </c>
      <c r="D18">
        <f t="shared" si="0"/>
        <v>-1.3059067712095762</v>
      </c>
      <c r="E18" s="3">
        <f t="shared" si="1"/>
        <v>-0.76153570413589478</v>
      </c>
    </row>
    <row r="19" spans="1:5" x14ac:dyDescent="0.45">
      <c r="A19" s="2">
        <v>43983</v>
      </c>
      <c r="B19" s="3">
        <v>0.77057957649230957</v>
      </c>
      <c r="C19">
        <v>-2414.0454592156689</v>
      </c>
      <c r="D19">
        <f t="shared" si="0"/>
        <v>-1.0805843567453035</v>
      </c>
      <c r="E19" s="3">
        <f t="shared" si="1"/>
        <v>-0.77057957649230957</v>
      </c>
    </row>
    <row r="20" spans="1:5" x14ac:dyDescent="0.45">
      <c r="A20" s="2">
        <v>44013</v>
      </c>
      <c r="B20" s="3">
        <v>0.92713445425033569</v>
      </c>
      <c r="C20">
        <v>-2375.815164121896</v>
      </c>
      <c r="D20">
        <f t="shared" si="0"/>
        <v>-1.0447601039552525</v>
      </c>
      <c r="E20" s="3">
        <f t="shared" si="1"/>
        <v>-0.92713445425033569</v>
      </c>
    </row>
    <row r="21" spans="1:5" x14ac:dyDescent="0.45">
      <c r="A21" s="2">
        <v>44044</v>
      </c>
      <c r="B21" s="3">
        <v>0.66343116760253906</v>
      </c>
      <c r="C21">
        <v>-1314.0033943538119</v>
      </c>
      <c r="D21">
        <f t="shared" si="0"/>
        <v>-4.9773976792996881E-2</v>
      </c>
      <c r="E21" s="3">
        <f t="shared" si="1"/>
        <v>-0.66343116760253906</v>
      </c>
    </row>
    <row r="22" spans="1:5" x14ac:dyDescent="0.45">
      <c r="A22" s="2">
        <v>44075</v>
      </c>
      <c r="B22" s="3">
        <v>0.86036926507949829</v>
      </c>
      <c r="C22">
        <v>-1193.5267378463259</v>
      </c>
      <c r="D22">
        <f t="shared" si="0"/>
        <v>6.3120422463872256E-2</v>
      </c>
      <c r="E22" s="3">
        <f t="shared" si="1"/>
        <v>-0.86036926507949829</v>
      </c>
    </row>
    <row r="23" spans="1:5" x14ac:dyDescent="0.45">
      <c r="A23" s="2">
        <v>44105</v>
      </c>
      <c r="B23" s="3">
        <v>0.64959716796875</v>
      </c>
      <c r="C23">
        <v>-494.64758892730691</v>
      </c>
      <c r="D23">
        <f t="shared" si="0"/>
        <v>0.71801527062445392</v>
      </c>
      <c r="E23" s="3">
        <f t="shared" si="1"/>
        <v>-0.64959716796875</v>
      </c>
    </row>
    <row r="24" spans="1:5" x14ac:dyDescent="0.45">
      <c r="A24" s="2">
        <v>44136</v>
      </c>
      <c r="B24" s="3">
        <v>0.41756528615951538</v>
      </c>
      <c r="C24">
        <v>-332.20671902009911</v>
      </c>
      <c r="D24">
        <f t="shared" si="0"/>
        <v>0.87023284500408449</v>
      </c>
      <c r="E24" s="3">
        <f t="shared" si="1"/>
        <v>-0.41756528615951538</v>
      </c>
    </row>
    <row r="25" spans="1:5" x14ac:dyDescent="0.45">
      <c r="A25" s="2">
        <v>44166</v>
      </c>
      <c r="B25" s="3">
        <v>0.59490084648132324</v>
      </c>
      <c r="C25">
        <v>-984.37551498808182</v>
      </c>
      <c r="D25">
        <f t="shared" si="0"/>
        <v>0.2591086109056211</v>
      </c>
      <c r="E25" s="3">
        <f t="shared" si="1"/>
        <v>-0.59490084648132324</v>
      </c>
    </row>
    <row r="26" spans="1:5" x14ac:dyDescent="0.45">
      <c r="A26" s="2">
        <v>44197</v>
      </c>
      <c r="B26" s="3">
        <v>0.80387318134307861</v>
      </c>
      <c r="C26">
        <v>-1216.9781320634911</v>
      </c>
      <c r="D26">
        <f t="shared" si="0"/>
        <v>4.1144953201755305E-2</v>
      </c>
      <c r="E26" s="3">
        <f t="shared" si="1"/>
        <v>-0.80387318134307861</v>
      </c>
    </row>
    <row r="27" spans="1:5" x14ac:dyDescent="0.45">
      <c r="A27" s="2">
        <v>44228</v>
      </c>
      <c r="B27" s="3">
        <v>0.73551487922668457</v>
      </c>
      <c r="C27">
        <v>-899.42237827209738</v>
      </c>
      <c r="D27">
        <f t="shared" si="0"/>
        <v>0.33871518044834242</v>
      </c>
      <c r="E27" s="3">
        <f t="shared" si="1"/>
        <v>-0.73551487922668457</v>
      </c>
    </row>
    <row r="28" spans="1:5" x14ac:dyDescent="0.45">
      <c r="A28" s="2">
        <v>44256</v>
      </c>
      <c r="B28" s="3">
        <v>0.86440986394882202</v>
      </c>
      <c r="C28">
        <v>-1337.5139474495661</v>
      </c>
      <c r="D28">
        <f t="shared" si="0"/>
        <v>-7.1804881740769641E-2</v>
      </c>
      <c r="E28" s="3">
        <f t="shared" si="1"/>
        <v>-0.86440986394882202</v>
      </c>
    </row>
    <row r="29" spans="1:5" x14ac:dyDescent="0.45">
      <c r="A29" s="2">
        <v>44287</v>
      </c>
      <c r="B29" s="3">
        <v>0.75688183307647705</v>
      </c>
      <c r="C29">
        <v>-794.41745671661181</v>
      </c>
      <c r="D29">
        <f t="shared" si="0"/>
        <v>0.43711156595298672</v>
      </c>
      <c r="E29" s="3">
        <f t="shared" si="1"/>
        <v>-0.75688183307647705</v>
      </c>
    </row>
    <row r="30" spans="1:5" x14ac:dyDescent="0.45">
      <c r="A30" s="2">
        <v>44317</v>
      </c>
      <c r="B30" s="3">
        <v>0.64822208881378174</v>
      </c>
      <c r="C30">
        <v>-703.61372402385712</v>
      </c>
      <c r="D30">
        <f t="shared" si="0"/>
        <v>0.52220052135566997</v>
      </c>
      <c r="E30" s="3">
        <f t="shared" si="1"/>
        <v>-0.64822208881378174</v>
      </c>
    </row>
    <row r="31" spans="1:5" x14ac:dyDescent="0.45">
      <c r="A31" s="2">
        <v>44348</v>
      </c>
      <c r="B31" s="3">
        <v>0.75659006834030151</v>
      </c>
      <c r="C31">
        <v>-706.39708045820544</v>
      </c>
      <c r="D31">
        <f t="shared" si="0"/>
        <v>0.51959233681866002</v>
      </c>
      <c r="E31" s="3">
        <f t="shared" si="1"/>
        <v>-0.75659006834030151</v>
      </c>
    </row>
    <row r="32" spans="1:5" x14ac:dyDescent="0.45">
      <c r="A32" s="2">
        <v>44378</v>
      </c>
      <c r="B32" s="3">
        <v>0.54320073127746582</v>
      </c>
      <c r="C32">
        <v>-729.23712097176542</v>
      </c>
      <c r="D32">
        <f t="shared" si="0"/>
        <v>0.4981897454160617</v>
      </c>
      <c r="E32" s="3">
        <f t="shared" si="1"/>
        <v>-0.54320073127746582</v>
      </c>
    </row>
    <row r="33" spans="1:5" x14ac:dyDescent="0.45">
      <c r="A33" s="2">
        <v>44409</v>
      </c>
      <c r="B33" s="3">
        <v>0.60506051778793335</v>
      </c>
      <c r="C33">
        <v>-739.52657891779154</v>
      </c>
      <c r="D33">
        <f t="shared" si="0"/>
        <v>0.4885478595340173</v>
      </c>
      <c r="E33" s="3">
        <f t="shared" si="1"/>
        <v>-0.60506051778793335</v>
      </c>
    </row>
    <row r="34" spans="1:5" x14ac:dyDescent="0.45">
      <c r="A34" s="2">
        <v>44440</v>
      </c>
      <c r="B34" s="3">
        <v>0.85758334398269653</v>
      </c>
      <c r="C34">
        <v>-649.42060320065275</v>
      </c>
      <c r="D34">
        <f t="shared" si="0"/>
        <v>0.57298297163731793</v>
      </c>
      <c r="E34" s="3">
        <f t="shared" si="1"/>
        <v>-0.85758334398269653</v>
      </c>
    </row>
    <row r="35" spans="1:5" x14ac:dyDescent="0.45">
      <c r="A35" s="2">
        <v>44470</v>
      </c>
      <c r="B35" s="3">
        <v>0.79255366325378418</v>
      </c>
      <c r="C35">
        <v>-401.02995598882382</v>
      </c>
      <c r="D35">
        <f t="shared" si="0"/>
        <v>0.80574103208583236</v>
      </c>
      <c r="E35" s="3">
        <f t="shared" si="1"/>
        <v>-0.79255366325378418</v>
      </c>
    </row>
    <row r="36" spans="1:5" x14ac:dyDescent="0.45">
      <c r="A36" s="2">
        <v>44501</v>
      </c>
      <c r="B36" s="3">
        <v>0.81423693895339966</v>
      </c>
      <c r="C36">
        <v>-281.10479045218318</v>
      </c>
      <c r="D36">
        <f t="shared" si="0"/>
        <v>0.91811864872560334</v>
      </c>
      <c r="E36" s="3">
        <f t="shared" si="1"/>
        <v>-0.81423693895339966</v>
      </c>
    </row>
    <row r="37" spans="1:5" x14ac:dyDescent="0.45">
      <c r="A37" s="2">
        <v>44531</v>
      </c>
      <c r="B37" s="3">
        <v>0.88293498754501343</v>
      </c>
      <c r="C37">
        <v>-443.49082526218331</v>
      </c>
      <c r="D37">
        <f t="shared" si="0"/>
        <v>0.7659524583695414</v>
      </c>
      <c r="E37" s="3">
        <f t="shared" si="1"/>
        <v>-0.88293498754501343</v>
      </c>
    </row>
    <row r="38" spans="1:5" x14ac:dyDescent="0.45">
      <c r="A38" s="2">
        <v>44562</v>
      </c>
      <c r="B38" s="3">
        <v>0.8261566162109375</v>
      </c>
      <c r="C38">
        <v>-408.26984674693989</v>
      </c>
      <c r="D38">
        <f t="shared" si="0"/>
        <v>0.79895678739049514</v>
      </c>
      <c r="E38" s="3">
        <f t="shared" si="1"/>
        <v>-0.8261566162109375</v>
      </c>
    </row>
    <row r="39" spans="1:5" x14ac:dyDescent="0.45">
      <c r="A39" s="2">
        <v>44593</v>
      </c>
      <c r="B39" s="3">
        <v>1.5198043584823608</v>
      </c>
      <c r="C39">
        <v>-605.56574461073058</v>
      </c>
      <c r="D39">
        <f t="shared" si="0"/>
        <v>0.61407780327133299</v>
      </c>
      <c r="E39" s="3">
        <f t="shared" si="1"/>
        <v>-1.5198043584823608</v>
      </c>
    </row>
    <row r="40" spans="1:5" x14ac:dyDescent="0.45">
      <c r="A40" s="2">
        <v>44621</v>
      </c>
      <c r="B40" s="3">
        <v>2.6001195907592773</v>
      </c>
      <c r="C40">
        <v>-1150.835084805195</v>
      </c>
      <c r="D40">
        <f t="shared" si="0"/>
        <v>0.1031252554587328</v>
      </c>
      <c r="E40" s="3">
        <f t="shared" si="1"/>
        <v>-2.6001195907592773</v>
      </c>
    </row>
    <row r="41" spans="1:5" x14ac:dyDescent="0.45">
      <c r="A41" s="2">
        <v>44652</v>
      </c>
      <c r="B41" s="3">
        <v>1.1504693031311035</v>
      </c>
      <c r="C41">
        <v>-859.55249528830768</v>
      </c>
      <c r="D41">
        <f t="shared" si="0"/>
        <v>0.37607583286333474</v>
      </c>
      <c r="E41" s="3">
        <f t="shared" si="1"/>
        <v>-1.1504693031311035</v>
      </c>
    </row>
    <row r="42" spans="1:5" x14ac:dyDescent="0.45">
      <c r="A42" s="2">
        <v>44682</v>
      </c>
      <c r="B42" s="3">
        <v>0.95703125</v>
      </c>
      <c r="C42">
        <v>-684.63341512434897</v>
      </c>
      <c r="D42">
        <f t="shared" si="0"/>
        <v>0.5399862952394815</v>
      </c>
      <c r="E42" s="3">
        <f t="shared" si="1"/>
        <v>-0.95703125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D3F9-5B11-4F1E-9B07-5F0CA7072B49}">
  <dimension ref="A1:B3"/>
  <sheetViews>
    <sheetView workbookViewId="0">
      <selection sqref="A1:B3"/>
    </sheetView>
  </sheetViews>
  <sheetFormatPr defaultRowHeight="14.25" x14ac:dyDescent="0.45"/>
  <sheetData>
    <row r="1" spans="1:2" x14ac:dyDescent="0.45">
      <c r="A1" s="4"/>
      <c r="B1" s="4" t="s">
        <v>9</v>
      </c>
    </row>
    <row r="2" spans="1:2" x14ac:dyDescent="0.45">
      <c r="A2" s="4" t="s">
        <v>7</v>
      </c>
      <c r="B2" s="4" t="s">
        <v>8</v>
      </c>
    </row>
    <row r="3" spans="1:2" x14ac:dyDescent="0.45">
      <c r="A3" s="4" t="s">
        <v>10</v>
      </c>
      <c r="B3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8712-E5CE-4636-8EE7-DCF06756C6F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CWTeIac</vt:lpstr>
      <vt:lpstr>CORR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2022-06-23T10:29:58Z</dcterms:created>
  <dcterms:modified xsi:type="dcterms:W3CDTF">2022-06-30T09:48:06Z</dcterms:modified>
</cp:coreProperties>
</file>