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/>
  <mc:AlternateContent xmlns:mc="http://schemas.openxmlformats.org/markup-compatibility/2006">
    <mc:Choice Requires="x15">
      <x15ac:absPath xmlns:x15ac="http://schemas.microsoft.com/office/spreadsheetml/2010/11/ac" url="\\COR-FS-BO-01\Amif\CLIMATE RISK &amp; ESG\PROGETTI\NLP\GDELT\"/>
    </mc:Choice>
  </mc:AlternateContent>
  <xr:revisionPtr revIDLastSave="0" documentId="13_ncr:1_{DA1B4A10-49DF-473C-A860-42291ABC13A8}" xr6:coauthVersionLast="36" xr6:coauthVersionMax="36" xr10:uidLastSave="{00000000-0000-0000-0000-000000000000}"/>
  <bookViews>
    <workbookView xWindow="0" yWindow="0" windowWidth="20520" windowHeight="8865" xr2:uid="{00000000-000D-0000-FFFF-FFFF00000000}"/>
  </bookViews>
  <sheets>
    <sheet name="TUR" sheetId="1" r:id="rId1"/>
    <sheet name="Sheet2" sheetId="2" r:id="rId2"/>
  </sheets>
  <calcPr calcId="19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2" i="1"/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2" i="1"/>
  <c r="F4" i="1"/>
  <c r="F3" i="1"/>
  <c r="F2" i="1"/>
</calcChain>
</file>

<file path=xl/sharedStrings.xml><?xml version="1.0" encoding="utf-8"?>
<sst xmlns="http://schemas.openxmlformats.org/spreadsheetml/2006/main" count="13" uniqueCount="13">
  <si>
    <t>CWT_ID</t>
  </si>
  <si>
    <t xml:space="preserve"> -0,6994</t>
  </si>
  <si>
    <t>3,6207 x 10^-7</t>
  </si>
  <si>
    <t>TURKEY</t>
  </si>
  <si>
    <t>CORR</t>
  </si>
  <si>
    <t>p-value</t>
  </si>
  <si>
    <t>month</t>
  </si>
  <si>
    <t>GPRC_TUR</t>
  </si>
  <si>
    <t>media</t>
  </si>
  <si>
    <t>st dev</t>
  </si>
  <si>
    <t>corr</t>
  </si>
  <si>
    <t>CWT_stand</t>
  </si>
  <si>
    <t xml:space="preserve"> -GPRC_TUR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</si>
</sst>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TURKEY</a:t>
            </a:r>
            <a:r>
              <a:rPr lang="en-US" baseline="0"/>
              <a:t>            CORR=-0,69945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TUR!$B$1</c:f>
              <c:strCache>
                <c:ptCount val="1"/>
                <c:pt idx="0">
                  <c:v>GPRC_TUR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TUR!$A$2:$A$42</c:f>
              <c:numCache>
                <c:formatCode>m/d/yyyy</c:formatCode>
                <c:ptCount val="41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</c:numCache>
            </c:numRef>
          </c:cat>
          <c:val>
            <c:numRef>
              <c:f>TUR!$B$2:$B$42</c:f>
              <c:numCache>
                <c:formatCode>#,##0.00</c:formatCode>
                <c:ptCount val="41"/>
                <c:pt idx="0">
                  <c:v>0.41223970055580139</c:v>
                </c:pt>
                <c:pt idx="1">
                  <c:v>0.30214333534240723</c:v>
                </c:pt>
                <c:pt idx="2">
                  <c:v>0.2627846896648407</c:v>
                </c:pt>
                <c:pt idx="3">
                  <c:v>0.25964725017547607</c:v>
                </c:pt>
                <c:pt idx="4">
                  <c:v>0.31806069612503052</c:v>
                </c:pt>
                <c:pt idx="5">
                  <c:v>0.28043833374977112</c:v>
                </c:pt>
                <c:pt idx="6">
                  <c:v>0.33625343441963196</c:v>
                </c:pt>
                <c:pt idx="7">
                  <c:v>0.15042915940284729</c:v>
                </c:pt>
                <c:pt idx="8">
                  <c:v>0.2170158177614212</c:v>
                </c:pt>
                <c:pt idx="9">
                  <c:v>1.1771630048751831</c:v>
                </c:pt>
                <c:pt idx="10">
                  <c:v>0.2684859037399292</c:v>
                </c:pt>
                <c:pt idx="11">
                  <c:v>0.30094164609909058</c:v>
                </c:pt>
                <c:pt idx="12">
                  <c:v>0.53386276960372925</c:v>
                </c:pt>
                <c:pt idx="13">
                  <c:v>0.45920643210411072</c:v>
                </c:pt>
                <c:pt idx="14">
                  <c:v>0.32922866940498352</c:v>
                </c:pt>
                <c:pt idx="15">
                  <c:v>6.0350030660629272E-2</c:v>
                </c:pt>
                <c:pt idx="16">
                  <c:v>0.10814707726240158</c:v>
                </c:pt>
                <c:pt idx="17">
                  <c:v>0.12458471953868866</c:v>
                </c:pt>
                <c:pt idx="18">
                  <c:v>0.15752284228801727</c:v>
                </c:pt>
                <c:pt idx="19">
                  <c:v>0.15583953261375427</c:v>
                </c:pt>
                <c:pt idx="20">
                  <c:v>0.39881700277328491</c:v>
                </c:pt>
                <c:pt idx="21">
                  <c:v>0.52727043628692627</c:v>
                </c:pt>
                <c:pt idx="22">
                  <c:v>0.19272243976593018</c:v>
                </c:pt>
                <c:pt idx="23">
                  <c:v>0.21718601882457733</c:v>
                </c:pt>
                <c:pt idx="24">
                  <c:v>0.15986114740371704</c:v>
                </c:pt>
                <c:pt idx="25">
                  <c:v>0.14009806513786316</c:v>
                </c:pt>
                <c:pt idx="26">
                  <c:v>0.20818248391151428</c:v>
                </c:pt>
                <c:pt idx="27">
                  <c:v>0.20247794687747955</c:v>
                </c:pt>
                <c:pt idx="28">
                  <c:v>0.1456151008605957</c:v>
                </c:pt>
                <c:pt idx="29">
                  <c:v>0.19276179373264313</c:v>
                </c:pt>
                <c:pt idx="30">
                  <c:v>0.15785320103168488</c:v>
                </c:pt>
                <c:pt idx="31">
                  <c:v>0.25502550601959229</c:v>
                </c:pt>
                <c:pt idx="32">
                  <c:v>0.1300828605890274</c:v>
                </c:pt>
                <c:pt idx="33">
                  <c:v>0.26264861226081848</c:v>
                </c:pt>
                <c:pt idx="34">
                  <c:v>0.37055096030235291</c:v>
                </c:pt>
                <c:pt idx="35">
                  <c:v>0.16745318472385406</c:v>
                </c:pt>
                <c:pt idx="36">
                  <c:v>0.20028039813041687</c:v>
                </c:pt>
                <c:pt idx="37">
                  <c:v>0.31749334931373596</c:v>
                </c:pt>
                <c:pt idx="38">
                  <c:v>0.89659297466278076</c:v>
                </c:pt>
                <c:pt idx="39">
                  <c:v>0.4480774998664856</c:v>
                </c:pt>
                <c:pt idx="40">
                  <c:v>0.4036458432674408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E2-4398-ACD6-56C4491A814E}"/>
            </c:ext>
          </c:extLst>
        </c:ser>
        <c:ser>
          <c:idx val="1"/>
          <c:order val="1"/>
          <c:tx>
            <c:strRef>
              <c:f>TUR!$D$1</c:f>
              <c:strCache>
                <c:ptCount val="1"/>
                <c:pt idx="0">
                  <c:v>CWT_stand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TUR!$A$2:$A$42</c:f>
              <c:numCache>
                <c:formatCode>m/d/yyyy</c:formatCode>
                <c:ptCount val="41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</c:numCache>
            </c:numRef>
          </c:cat>
          <c:val>
            <c:numRef>
              <c:f>TUR!$D$2:$D$41</c:f>
              <c:numCache>
                <c:formatCode>General</c:formatCode>
                <c:ptCount val="40"/>
                <c:pt idx="0">
                  <c:v>-0.35901183289050143</c:v>
                </c:pt>
                <c:pt idx="1">
                  <c:v>6.7409196656341624E-2</c:v>
                </c:pt>
                <c:pt idx="2">
                  <c:v>-0.40604116078785885</c:v>
                </c:pt>
                <c:pt idx="3">
                  <c:v>5.3264140529606117E-2</c:v>
                </c:pt>
                <c:pt idx="4">
                  <c:v>8.2270082120927401E-2</c:v>
                </c:pt>
                <c:pt idx="5">
                  <c:v>0.15650133506548525</c:v>
                </c:pt>
                <c:pt idx="6">
                  <c:v>-0.13736752730668131</c:v>
                </c:pt>
                <c:pt idx="7">
                  <c:v>0.25758588256781573</c:v>
                </c:pt>
                <c:pt idx="8">
                  <c:v>0.19568938144942719</c:v>
                </c:pt>
                <c:pt idx="9">
                  <c:v>-5.1347048469317516</c:v>
                </c:pt>
                <c:pt idx="10">
                  <c:v>-0.66587756340184623</c:v>
                </c:pt>
                <c:pt idx="11">
                  <c:v>-0.43931535752055351</c:v>
                </c:pt>
                <c:pt idx="12">
                  <c:v>-0.30117308532033926</c:v>
                </c:pt>
                <c:pt idx="13">
                  <c:v>-2.0512922794360104</c:v>
                </c:pt>
                <c:pt idx="14">
                  <c:v>-1.4918678576269948</c:v>
                </c:pt>
                <c:pt idx="15">
                  <c:v>0.15677326557402183</c:v>
                </c:pt>
                <c:pt idx="16">
                  <c:v>0.40809136944857977</c:v>
                </c:pt>
                <c:pt idx="17">
                  <c:v>3.6988422351699794E-2</c:v>
                </c:pt>
                <c:pt idx="18">
                  <c:v>-3.3786743922397999E-2</c:v>
                </c:pt>
                <c:pt idx="19">
                  <c:v>0.31272306708512226</c:v>
                </c:pt>
                <c:pt idx="20">
                  <c:v>-0.14521576796011348</c:v>
                </c:pt>
                <c:pt idx="21">
                  <c:v>-0.14436325720393239</c:v>
                </c:pt>
                <c:pt idx="22">
                  <c:v>0.53494268537678291</c:v>
                </c:pt>
                <c:pt idx="23">
                  <c:v>0.25620953730549184</c:v>
                </c:pt>
                <c:pt idx="24">
                  <c:v>0.63810459687465981</c:v>
                </c:pt>
                <c:pt idx="25">
                  <c:v>0.49123083691456015</c:v>
                </c:pt>
                <c:pt idx="26">
                  <c:v>0.30590005557717359</c:v>
                </c:pt>
                <c:pt idx="27">
                  <c:v>7.1647078629908573E-2</c:v>
                </c:pt>
                <c:pt idx="28">
                  <c:v>0.45363537923531316</c:v>
                </c:pt>
                <c:pt idx="29">
                  <c:v>0.66188111934055738</c:v>
                </c:pt>
                <c:pt idx="30">
                  <c:v>0.55427134441454251</c:v>
                </c:pt>
                <c:pt idx="31">
                  <c:v>0.23328421748018505</c:v>
                </c:pt>
                <c:pt idx="32">
                  <c:v>0.77541463332735716</c:v>
                </c:pt>
                <c:pt idx="33">
                  <c:v>0.71210938109257749</c:v>
                </c:pt>
                <c:pt idx="34">
                  <c:v>0.67896703504366174</c:v>
                </c:pt>
                <c:pt idx="35">
                  <c:v>0.76932118480999834</c:v>
                </c:pt>
                <c:pt idx="36">
                  <c:v>0.8512452662036295</c:v>
                </c:pt>
                <c:pt idx="37">
                  <c:v>0.5138210382313404</c:v>
                </c:pt>
                <c:pt idx="38">
                  <c:v>0.19457325343563936</c:v>
                </c:pt>
                <c:pt idx="39">
                  <c:v>0.43553572011285685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E2-4398-ACD6-56C4491A81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2563391"/>
        <c:axId val="290627391"/>
      </c:lineChart>
      <c:dateAx>
        <c:axId val="562563391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627391"/>
        <c:crosses val="autoZero"/>
        <c:auto val="1"/>
        <c:lblOffset val="100"/>
        <c:baseTimeUnit val="months"/>
      </c:dateAx>
      <c:valAx>
        <c:axId val="290627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563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TURKEY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TUR!$B$1</c:f>
              <c:strCache>
                <c:ptCount val="1"/>
                <c:pt idx="0">
                  <c:v>GPRC_TUR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TUR!$A$2:$A$42</c:f>
              <c:numCache>
                <c:formatCode>m/d/yyyy</c:formatCode>
                <c:ptCount val="41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</c:numCache>
            </c:numRef>
          </c:cat>
          <c:val>
            <c:numRef>
              <c:f>TUR!$B$2:$B$42</c:f>
              <c:numCache>
                <c:formatCode>#,##0.00</c:formatCode>
                <c:ptCount val="41"/>
                <c:pt idx="0">
                  <c:v>0.41223970055580139</c:v>
                </c:pt>
                <c:pt idx="1">
                  <c:v>0.30214333534240723</c:v>
                </c:pt>
                <c:pt idx="2">
                  <c:v>0.2627846896648407</c:v>
                </c:pt>
                <c:pt idx="3">
                  <c:v>0.25964725017547607</c:v>
                </c:pt>
                <c:pt idx="4">
                  <c:v>0.31806069612503052</c:v>
                </c:pt>
                <c:pt idx="5">
                  <c:v>0.28043833374977112</c:v>
                </c:pt>
                <c:pt idx="6">
                  <c:v>0.33625343441963196</c:v>
                </c:pt>
                <c:pt idx="7">
                  <c:v>0.15042915940284729</c:v>
                </c:pt>
                <c:pt idx="8">
                  <c:v>0.2170158177614212</c:v>
                </c:pt>
                <c:pt idx="9">
                  <c:v>1.1771630048751831</c:v>
                </c:pt>
                <c:pt idx="10">
                  <c:v>0.2684859037399292</c:v>
                </c:pt>
                <c:pt idx="11">
                  <c:v>0.30094164609909058</c:v>
                </c:pt>
                <c:pt idx="12">
                  <c:v>0.53386276960372925</c:v>
                </c:pt>
                <c:pt idx="13">
                  <c:v>0.45920643210411072</c:v>
                </c:pt>
                <c:pt idx="14">
                  <c:v>0.32922866940498352</c:v>
                </c:pt>
                <c:pt idx="15">
                  <c:v>6.0350030660629272E-2</c:v>
                </c:pt>
                <c:pt idx="16">
                  <c:v>0.10814707726240158</c:v>
                </c:pt>
                <c:pt idx="17">
                  <c:v>0.12458471953868866</c:v>
                </c:pt>
                <c:pt idx="18">
                  <c:v>0.15752284228801727</c:v>
                </c:pt>
                <c:pt idx="19">
                  <c:v>0.15583953261375427</c:v>
                </c:pt>
                <c:pt idx="20">
                  <c:v>0.39881700277328491</c:v>
                </c:pt>
                <c:pt idx="21">
                  <c:v>0.52727043628692627</c:v>
                </c:pt>
                <c:pt idx="22">
                  <c:v>0.19272243976593018</c:v>
                </c:pt>
                <c:pt idx="23">
                  <c:v>0.21718601882457733</c:v>
                </c:pt>
                <c:pt idx="24">
                  <c:v>0.15986114740371704</c:v>
                </c:pt>
                <c:pt idx="25">
                  <c:v>0.14009806513786316</c:v>
                </c:pt>
                <c:pt idx="26">
                  <c:v>0.20818248391151428</c:v>
                </c:pt>
                <c:pt idx="27">
                  <c:v>0.20247794687747955</c:v>
                </c:pt>
                <c:pt idx="28">
                  <c:v>0.1456151008605957</c:v>
                </c:pt>
                <c:pt idx="29">
                  <c:v>0.19276179373264313</c:v>
                </c:pt>
                <c:pt idx="30">
                  <c:v>0.15785320103168488</c:v>
                </c:pt>
                <c:pt idx="31">
                  <c:v>0.25502550601959229</c:v>
                </c:pt>
                <c:pt idx="32">
                  <c:v>0.1300828605890274</c:v>
                </c:pt>
                <c:pt idx="33">
                  <c:v>0.26264861226081848</c:v>
                </c:pt>
                <c:pt idx="34">
                  <c:v>0.37055096030235291</c:v>
                </c:pt>
                <c:pt idx="35">
                  <c:v>0.16745318472385406</c:v>
                </c:pt>
                <c:pt idx="36">
                  <c:v>0.20028039813041687</c:v>
                </c:pt>
                <c:pt idx="37">
                  <c:v>0.31749334931373596</c:v>
                </c:pt>
                <c:pt idx="38">
                  <c:v>0.89659297466278076</c:v>
                </c:pt>
                <c:pt idx="39">
                  <c:v>0.4480774998664856</c:v>
                </c:pt>
                <c:pt idx="40">
                  <c:v>0.4036458432674408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F3-4EFF-92F1-33FDF7A842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4390527"/>
        <c:axId val="282644575"/>
      </c:lineChart>
      <c:lineChart>
        <c:grouping val="standard"/>
        <c:varyColors val="0"/>
        <c:ser>
          <c:idx val="1"/>
          <c:order val="1"/>
          <c:tx>
            <c:strRef>
              <c:f>TUR!$C$1</c:f>
              <c:strCache>
                <c:ptCount val="1"/>
                <c:pt idx="0">
                  <c:v>CWT_ID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TUR!$A$2:$A$42</c:f>
              <c:numCache>
                <c:formatCode>m/d/yyyy</c:formatCode>
                <c:ptCount val="41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</c:numCache>
            </c:numRef>
          </c:cat>
          <c:val>
            <c:numRef>
              <c:f>TUR!$C$2:$C$42</c:f>
              <c:numCache>
                <c:formatCode>General</c:formatCode>
                <c:ptCount val="41"/>
                <c:pt idx="0">
                  <c:v>-788.83732378250681</c:v>
                </c:pt>
                <c:pt idx="1">
                  <c:v>-576.57627690365734</c:v>
                </c:pt>
                <c:pt idx="2">
                  <c:v>-812.2472723587066</c:v>
                </c:pt>
                <c:pt idx="3">
                  <c:v>-583.61730962385798</c:v>
                </c:pt>
                <c:pt idx="4">
                  <c:v>-569.17892337817148</c:v>
                </c:pt>
                <c:pt idx="5">
                  <c:v>-532.2285800100575</c:v>
                </c:pt>
                <c:pt idx="6">
                  <c:v>-678.50868359336448</c:v>
                </c:pt>
                <c:pt idx="7">
                  <c:v>-481.91138083505189</c:v>
                </c:pt>
                <c:pt idx="8">
                  <c:v>-512.72181281465896</c:v>
                </c:pt>
                <c:pt idx="9">
                  <c:v>-3166.050285839407</c:v>
                </c:pt>
                <c:pt idx="10">
                  <c:v>-941.58692264445904</c:v>
                </c:pt>
                <c:pt idx="11">
                  <c:v>-828.81028248989128</c:v>
                </c:pt>
                <c:pt idx="12">
                  <c:v>-760.04673359409423</c:v>
                </c:pt>
                <c:pt idx="13">
                  <c:v>-1631.20952005548</c:v>
                </c:pt>
                <c:pt idx="14">
                  <c:v>-1352.742922033882</c:v>
                </c:pt>
                <c:pt idx="15">
                  <c:v>-532.09322023551351</c:v>
                </c:pt>
                <c:pt idx="16">
                  <c:v>-406.99375249887117</c:v>
                </c:pt>
                <c:pt idx="17">
                  <c:v>-591.71892924336601</c:v>
                </c:pt>
                <c:pt idx="18">
                  <c:v>-626.94892458934919</c:v>
                </c:pt>
                <c:pt idx="19">
                  <c:v>-454.46555688018492</c:v>
                </c:pt>
                <c:pt idx="20">
                  <c:v>-682.41532904897201</c:v>
                </c:pt>
                <c:pt idx="21">
                  <c:v>-681.99097186899246</c:v>
                </c:pt>
                <c:pt idx="22">
                  <c:v>-343.85054132681933</c:v>
                </c:pt>
                <c:pt idx="23">
                  <c:v>-482.59648889962853</c:v>
                </c:pt>
                <c:pt idx="24">
                  <c:v>-292.49928560701409</c:v>
                </c:pt>
                <c:pt idx="25">
                  <c:v>-365.60913687606109</c:v>
                </c:pt>
                <c:pt idx="26">
                  <c:v>-457.86187053545348</c:v>
                </c:pt>
                <c:pt idx="27">
                  <c:v>-574.46677197325027</c:v>
                </c:pt>
                <c:pt idx="28">
                  <c:v>-384.32315577275301</c:v>
                </c:pt>
                <c:pt idx="29">
                  <c:v>-280.66396511376081</c:v>
                </c:pt>
                <c:pt idx="30">
                  <c:v>-334.22924894712799</c:v>
                </c:pt>
                <c:pt idx="31">
                  <c:v>-494.00810335805079</c:v>
                </c:pt>
                <c:pt idx="32">
                  <c:v>-224.1500015311432</c:v>
                </c:pt>
                <c:pt idx="33">
                  <c:v>-255.66167234757469</c:v>
                </c:pt>
                <c:pt idx="34">
                  <c:v>-272.15905071524071</c:v>
                </c:pt>
                <c:pt idx="35">
                  <c:v>-227.1831581340702</c:v>
                </c:pt>
                <c:pt idx="36">
                  <c:v>-186.4035293721403</c:v>
                </c:pt>
                <c:pt idx="37">
                  <c:v>-354.36433549795038</c:v>
                </c:pt>
                <c:pt idx="38">
                  <c:v>-513.27739165397929</c:v>
                </c:pt>
                <c:pt idx="39">
                  <c:v>-393.33268468263259</c:v>
                </c:pt>
                <c:pt idx="40">
                  <c:v>-385.82075941152033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F3-4EFF-92F1-33FDF7A842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4401327"/>
        <c:axId val="224561807"/>
      </c:lineChart>
      <c:dateAx>
        <c:axId val="72439052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2644575"/>
        <c:crosses val="autoZero"/>
        <c:auto val="1"/>
        <c:lblOffset val="100"/>
        <c:baseTimeUnit val="months"/>
      </c:dateAx>
      <c:valAx>
        <c:axId val="282644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390527"/>
        <c:crosses val="autoZero"/>
        <c:crossBetween val="between"/>
      </c:valAx>
      <c:valAx>
        <c:axId val="224561807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401327"/>
        <c:crosses val="max"/>
        <c:crossBetween val="between"/>
      </c:valAx>
      <c:dateAx>
        <c:axId val="724401327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24561807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TURKEY         CORR=0,69945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TUR!$D$1</c:f>
              <c:strCache>
                <c:ptCount val="1"/>
                <c:pt idx="0">
                  <c:v>CWT_stand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TUR!$A$2:$A$42</c:f>
              <c:numCache>
                <c:formatCode>m/d/yyyy</c:formatCode>
                <c:ptCount val="41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</c:numCache>
            </c:numRef>
          </c:cat>
          <c:val>
            <c:numRef>
              <c:f>TUR!$D$2:$D$42</c:f>
              <c:numCache>
                <c:formatCode>General</c:formatCode>
                <c:ptCount val="41"/>
                <c:pt idx="0">
                  <c:v>-0.35901183289050143</c:v>
                </c:pt>
                <c:pt idx="1">
                  <c:v>6.7409196656341624E-2</c:v>
                </c:pt>
                <c:pt idx="2">
                  <c:v>-0.40604116078785885</c:v>
                </c:pt>
                <c:pt idx="3">
                  <c:v>5.3264140529606117E-2</c:v>
                </c:pt>
                <c:pt idx="4">
                  <c:v>8.2270082120927401E-2</c:v>
                </c:pt>
                <c:pt idx="5">
                  <c:v>0.15650133506548525</c:v>
                </c:pt>
                <c:pt idx="6">
                  <c:v>-0.13736752730668131</c:v>
                </c:pt>
                <c:pt idx="7">
                  <c:v>0.25758588256781573</c:v>
                </c:pt>
                <c:pt idx="8">
                  <c:v>0.19568938144942719</c:v>
                </c:pt>
                <c:pt idx="9">
                  <c:v>-5.1347048469317516</c:v>
                </c:pt>
                <c:pt idx="10">
                  <c:v>-0.66587756340184623</c:v>
                </c:pt>
                <c:pt idx="11">
                  <c:v>-0.43931535752055351</c:v>
                </c:pt>
                <c:pt idx="12">
                  <c:v>-0.30117308532033926</c:v>
                </c:pt>
                <c:pt idx="13">
                  <c:v>-2.0512922794360104</c:v>
                </c:pt>
                <c:pt idx="14">
                  <c:v>-1.4918678576269948</c:v>
                </c:pt>
                <c:pt idx="15">
                  <c:v>0.15677326557402183</c:v>
                </c:pt>
                <c:pt idx="16">
                  <c:v>0.40809136944857977</c:v>
                </c:pt>
                <c:pt idx="17">
                  <c:v>3.6988422351699794E-2</c:v>
                </c:pt>
                <c:pt idx="18">
                  <c:v>-3.3786743922397999E-2</c:v>
                </c:pt>
                <c:pt idx="19">
                  <c:v>0.31272306708512226</c:v>
                </c:pt>
                <c:pt idx="20">
                  <c:v>-0.14521576796011348</c:v>
                </c:pt>
                <c:pt idx="21">
                  <c:v>-0.14436325720393239</c:v>
                </c:pt>
                <c:pt idx="22">
                  <c:v>0.53494268537678291</c:v>
                </c:pt>
                <c:pt idx="23">
                  <c:v>0.25620953730549184</c:v>
                </c:pt>
                <c:pt idx="24">
                  <c:v>0.63810459687465981</c:v>
                </c:pt>
                <c:pt idx="25">
                  <c:v>0.49123083691456015</c:v>
                </c:pt>
                <c:pt idx="26">
                  <c:v>0.30590005557717359</c:v>
                </c:pt>
                <c:pt idx="27">
                  <c:v>7.1647078629908573E-2</c:v>
                </c:pt>
                <c:pt idx="28">
                  <c:v>0.45363537923531316</c:v>
                </c:pt>
                <c:pt idx="29">
                  <c:v>0.66188111934055738</c:v>
                </c:pt>
                <c:pt idx="30">
                  <c:v>0.55427134441454251</c:v>
                </c:pt>
                <c:pt idx="31">
                  <c:v>0.23328421748018505</c:v>
                </c:pt>
                <c:pt idx="32">
                  <c:v>0.77541463332735716</c:v>
                </c:pt>
                <c:pt idx="33">
                  <c:v>0.71210938109257749</c:v>
                </c:pt>
                <c:pt idx="34">
                  <c:v>0.67896703504366174</c:v>
                </c:pt>
                <c:pt idx="35">
                  <c:v>0.76932118480999834</c:v>
                </c:pt>
                <c:pt idx="36">
                  <c:v>0.8512452662036295</c:v>
                </c:pt>
                <c:pt idx="37">
                  <c:v>0.5138210382313404</c:v>
                </c:pt>
                <c:pt idx="38">
                  <c:v>0.19457325343563936</c:v>
                </c:pt>
                <c:pt idx="39">
                  <c:v>0.43553572011285685</c:v>
                </c:pt>
                <c:pt idx="40">
                  <c:v>0.45062677405369095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27-40BD-97DD-8C444548CD8E}"/>
            </c:ext>
          </c:extLst>
        </c:ser>
        <c:ser>
          <c:idx val="1"/>
          <c:order val="1"/>
          <c:tx>
            <c:strRef>
              <c:f>TUR!$E$1</c:f>
              <c:strCache>
                <c:ptCount val="1"/>
                <c:pt idx="0">
                  <c:v> -GPRC_TUR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TUR!$A$2:$A$42</c:f>
              <c:numCache>
                <c:formatCode>m/d/yyyy</c:formatCode>
                <c:ptCount val="41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</c:numCache>
            </c:numRef>
          </c:cat>
          <c:val>
            <c:numRef>
              <c:f>TUR!$E$2:$E$42</c:f>
              <c:numCache>
                <c:formatCode>#,##0.00</c:formatCode>
                <c:ptCount val="41"/>
                <c:pt idx="0">
                  <c:v>-0.41223970055580139</c:v>
                </c:pt>
                <c:pt idx="1">
                  <c:v>-0.30214333534240723</c:v>
                </c:pt>
                <c:pt idx="2">
                  <c:v>-0.2627846896648407</c:v>
                </c:pt>
                <c:pt idx="3">
                  <c:v>-0.25964725017547607</c:v>
                </c:pt>
                <c:pt idx="4">
                  <c:v>-0.31806069612503052</c:v>
                </c:pt>
                <c:pt idx="5">
                  <c:v>-0.28043833374977112</c:v>
                </c:pt>
                <c:pt idx="6">
                  <c:v>-0.33625343441963196</c:v>
                </c:pt>
                <c:pt idx="7">
                  <c:v>-0.15042915940284729</c:v>
                </c:pt>
                <c:pt idx="8">
                  <c:v>-0.2170158177614212</c:v>
                </c:pt>
                <c:pt idx="9">
                  <c:v>-1.1771630048751831</c:v>
                </c:pt>
                <c:pt idx="10">
                  <c:v>-0.2684859037399292</c:v>
                </c:pt>
                <c:pt idx="11">
                  <c:v>-0.30094164609909058</c:v>
                </c:pt>
                <c:pt idx="12">
                  <c:v>-0.53386276960372925</c:v>
                </c:pt>
                <c:pt idx="13">
                  <c:v>-0.45920643210411072</c:v>
                </c:pt>
                <c:pt idx="14">
                  <c:v>-0.32922866940498352</c:v>
                </c:pt>
                <c:pt idx="15">
                  <c:v>-6.0350030660629272E-2</c:v>
                </c:pt>
                <c:pt idx="16">
                  <c:v>-0.10814707726240158</c:v>
                </c:pt>
                <c:pt idx="17">
                  <c:v>-0.12458471953868866</c:v>
                </c:pt>
                <c:pt idx="18">
                  <c:v>-0.15752284228801727</c:v>
                </c:pt>
                <c:pt idx="19">
                  <c:v>-0.15583953261375427</c:v>
                </c:pt>
                <c:pt idx="20">
                  <c:v>-0.39881700277328491</c:v>
                </c:pt>
                <c:pt idx="21">
                  <c:v>-0.52727043628692627</c:v>
                </c:pt>
                <c:pt idx="22">
                  <c:v>-0.19272243976593018</c:v>
                </c:pt>
                <c:pt idx="23">
                  <c:v>-0.21718601882457733</c:v>
                </c:pt>
                <c:pt idx="24">
                  <c:v>-0.15986114740371704</c:v>
                </c:pt>
                <c:pt idx="25">
                  <c:v>-0.14009806513786316</c:v>
                </c:pt>
                <c:pt idx="26">
                  <c:v>-0.20818248391151428</c:v>
                </c:pt>
                <c:pt idx="27">
                  <c:v>-0.20247794687747955</c:v>
                </c:pt>
                <c:pt idx="28">
                  <c:v>-0.1456151008605957</c:v>
                </c:pt>
                <c:pt idx="29">
                  <c:v>-0.19276179373264313</c:v>
                </c:pt>
                <c:pt idx="30">
                  <c:v>-0.15785320103168488</c:v>
                </c:pt>
                <c:pt idx="31">
                  <c:v>-0.25502550601959229</c:v>
                </c:pt>
                <c:pt idx="32">
                  <c:v>-0.1300828605890274</c:v>
                </c:pt>
                <c:pt idx="33">
                  <c:v>-0.26264861226081848</c:v>
                </c:pt>
                <c:pt idx="34">
                  <c:v>-0.37055096030235291</c:v>
                </c:pt>
                <c:pt idx="35">
                  <c:v>-0.16745318472385406</c:v>
                </c:pt>
                <c:pt idx="36">
                  <c:v>-0.20028039813041687</c:v>
                </c:pt>
                <c:pt idx="37">
                  <c:v>-0.31749334931373596</c:v>
                </c:pt>
                <c:pt idx="38">
                  <c:v>-0.89659297466278076</c:v>
                </c:pt>
                <c:pt idx="39">
                  <c:v>-0.4480774998664856</c:v>
                </c:pt>
                <c:pt idx="40">
                  <c:v>-0.4036458432674408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27-40BD-97DD-8C444548CD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136671"/>
        <c:axId val="194962975"/>
      </c:lineChart>
      <c:dateAx>
        <c:axId val="194136671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962975"/>
        <c:crosses val="autoZero"/>
        <c:auto val="1"/>
        <c:lblOffset val="100"/>
        <c:baseTimeUnit val="months"/>
      </c:dateAx>
      <c:valAx>
        <c:axId val="194962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36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121443</xdr:colOff>
      <xdr:row>6</xdr:row>
      <xdr:rowOff>164306</xdr:rowOff>
    </xdr:from>
    <xdr:to>
      <xdr:col>13</xdr:col>
      <xdr:colOff>159543</xdr:colOff>
      <xdr:row>22</xdr:row>
      <xdr:rowOff>11906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AC51CD-095E-4007-B7C9-E87F80269B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50006</xdr:colOff>
      <xdr:row>15</xdr:row>
      <xdr:rowOff>154781</xdr:rowOff>
    </xdr:from>
    <xdr:to>
      <xdr:col>14</xdr:col>
      <xdr:colOff>88106</xdr:colOff>
      <xdr:row>31</xdr:row>
      <xdr:rowOff>2381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271454B-D9E2-41CB-8499-51F2EEA47B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121443</xdr:colOff>
      <xdr:row>20</xdr:row>
      <xdr:rowOff>164306</xdr:rowOff>
    </xdr:from>
    <xdr:to>
      <xdr:col>13</xdr:col>
      <xdr:colOff>159543</xdr:colOff>
      <xdr:row>36</xdr:row>
      <xdr:rowOff>11906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E006BB4-8790-44EB-8FBD-85BC1673FD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"/>
  <sheetViews>
    <sheetView tabSelected="1" topLeftCell="A20" workbookViewId="0">
      <selection activeCell="I44" sqref="I44"/>
    </sheetView>
  </sheetViews>
  <sheetFormatPr defaultRowHeight="14.25" x14ac:dyDescent="0.45"/>
  <sheetData>
    <row r="1" spans="1:7" x14ac:dyDescent="0.45">
      <c r="A1" t="s">
        <v>6</v>
      </c>
      <c r="B1" t="s">
        <v>7</v>
      </c>
      <c r="C1" s="1" t="s">
        <v>0</v>
      </c>
      <c r="D1" t="s">
        <v>11</v>
      </c>
      <c r="E1" t="s">
        <v>12</v>
      </c>
    </row>
    <row r="2" spans="1:7" x14ac:dyDescent="0.45">
      <c r="A2" s="2">
        <v>43466</v>
      </c>
      <c r="B2" s="3">
        <v>0.41223970055580139</v>
      </c>
      <c r="C2">
        <v>-788.83732378250681</v>
      </c>
      <c r="D2">
        <f>STANDARDIZE(C2,$F$2,$F$3)</f>
        <v>-0.35901183289050143</v>
      </c>
      <c r="E2" s="3">
        <f>-B2</f>
        <v>-0.41223970055580139</v>
      </c>
      <c r="F2">
        <f>AVERAGE(C2:C42)</f>
        <v>-610.13078209947935</v>
      </c>
      <c r="G2" t="s">
        <v>8</v>
      </c>
    </row>
    <row r="3" spans="1:7" x14ac:dyDescent="0.45">
      <c r="A3" s="2">
        <v>43497</v>
      </c>
      <c r="B3" s="3">
        <v>0.30214333534240723</v>
      </c>
      <c r="C3">
        <v>-576.57627690365734</v>
      </c>
      <c r="D3">
        <f t="shared" ref="D3:D42" si="0">STANDARDIZE(C3,$F$2,$F$3)</f>
        <v>6.7409196656341624E-2</v>
      </c>
      <c r="E3" s="3">
        <f t="shared" ref="E3:E42" si="1">-B3</f>
        <v>-0.30214333534240723</v>
      </c>
      <c r="F3">
        <f>STDEV(C2:C42)</f>
        <v>497.77340274333784</v>
      </c>
      <c r="G3" t="s">
        <v>9</v>
      </c>
    </row>
    <row r="4" spans="1:7" x14ac:dyDescent="0.45">
      <c r="A4" s="2">
        <v>43525</v>
      </c>
      <c r="B4" s="3">
        <v>0.2627846896648407</v>
      </c>
      <c r="C4">
        <v>-812.2472723587066</v>
      </c>
      <c r="D4">
        <f t="shared" si="0"/>
        <v>-0.40604116078785885</v>
      </c>
      <c r="E4" s="3">
        <f t="shared" si="1"/>
        <v>-0.2627846896648407</v>
      </c>
      <c r="F4">
        <f>CORREL(B2:B42,C2:C42)</f>
        <v>-0.69945018957048932</v>
      </c>
      <c r="G4" t="s">
        <v>10</v>
      </c>
    </row>
    <row r="5" spans="1:7" x14ac:dyDescent="0.45">
      <c r="A5" s="2">
        <v>43556</v>
      </c>
      <c r="B5" s="3">
        <v>0.25964725017547607</v>
      </c>
      <c r="C5">
        <v>-583.61730962385798</v>
      </c>
      <c r="D5">
        <f t="shared" si="0"/>
        <v>5.3264140529606117E-2</v>
      </c>
      <c r="E5" s="3">
        <f t="shared" si="1"/>
        <v>-0.25964725017547607</v>
      </c>
    </row>
    <row r="6" spans="1:7" x14ac:dyDescent="0.45">
      <c r="A6" s="2">
        <v>43586</v>
      </c>
      <c r="B6" s="3">
        <v>0.31806069612503052</v>
      </c>
      <c r="C6">
        <v>-569.17892337817148</v>
      </c>
      <c r="D6">
        <f t="shared" si="0"/>
        <v>8.2270082120927401E-2</v>
      </c>
      <c r="E6" s="3">
        <f t="shared" si="1"/>
        <v>-0.31806069612503052</v>
      </c>
    </row>
    <row r="7" spans="1:7" x14ac:dyDescent="0.45">
      <c r="A7" s="2">
        <v>43617</v>
      </c>
      <c r="B7" s="3">
        <v>0.28043833374977112</v>
      </c>
      <c r="C7">
        <v>-532.2285800100575</v>
      </c>
      <c r="D7">
        <f t="shared" si="0"/>
        <v>0.15650133506548525</v>
      </c>
      <c r="E7" s="3">
        <f t="shared" si="1"/>
        <v>-0.28043833374977112</v>
      </c>
    </row>
    <row r="8" spans="1:7" x14ac:dyDescent="0.45">
      <c r="A8" s="2">
        <v>43647</v>
      </c>
      <c r="B8" s="3">
        <v>0.33625343441963196</v>
      </c>
      <c r="C8">
        <v>-678.50868359336448</v>
      </c>
      <c r="D8">
        <f t="shared" si="0"/>
        <v>-0.13736752730668131</v>
      </c>
      <c r="E8" s="3">
        <f t="shared" si="1"/>
        <v>-0.33625343441963196</v>
      </c>
    </row>
    <row r="9" spans="1:7" x14ac:dyDescent="0.45">
      <c r="A9" s="2">
        <v>43678</v>
      </c>
      <c r="B9" s="3">
        <v>0.15042915940284729</v>
      </c>
      <c r="C9">
        <v>-481.91138083505189</v>
      </c>
      <c r="D9">
        <f t="shared" si="0"/>
        <v>0.25758588256781573</v>
      </c>
      <c r="E9" s="3">
        <f t="shared" si="1"/>
        <v>-0.15042915940284729</v>
      </c>
    </row>
    <row r="10" spans="1:7" x14ac:dyDescent="0.45">
      <c r="A10" s="2">
        <v>43709</v>
      </c>
      <c r="B10" s="3">
        <v>0.2170158177614212</v>
      </c>
      <c r="C10">
        <v>-512.72181281465896</v>
      </c>
      <c r="D10">
        <f t="shared" si="0"/>
        <v>0.19568938144942719</v>
      </c>
      <c r="E10" s="3">
        <f t="shared" si="1"/>
        <v>-0.2170158177614212</v>
      </c>
    </row>
    <row r="11" spans="1:7" x14ac:dyDescent="0.45">
      <c r="A11" s="2">
        <v>43739</v>
      </c>
      <c r="B11" s="3">
        <v>1.1771630048751831</v>
      </c>
      <c r="C11">
        <v>-3166.050285839407</v>
      </c>
      <c r="D11">
        <f t="shared" si="0"/>
        <v>-5.1347048469317516</v>
      </c>
      <c r="E11" s="3">
        <f t="shared" si="1"/>
        <v>-1.1771630048751831</v>
      </c>
    </row>
    <row r="12" spans="1:7" x14ac:dyDescent="0.45">
      <c r="A12" s="2">
        <v>43770</v>
      </c>
      <c r="B12" s="3">
        <v>0.2684859037399292</v>
      </c>
      <c r="C12">
        <v>-941.58692264445904</v>
      </c>
      <c r="D12">
        <f t="shared" si="0"/>
        <v>-0.66587756340184623</v>
      </c>
      <c r="E12" s="3">
        <f t="shared" si="1"/>
        <v>-0.2684859037399292</v>
      </c>
    </row>
    <row r="13" spans="1:7" x14ac:dyDescent="0.45">
      <c r="A13" s="2">
        <v>43800</v>
      </c>
      <c r="B13" s="3">
        <v>0.30094164609909058</v>
      </c>
      <c r="C13">
        <v>-828.81028248989128</v>
      </c>
      <c r="D13">
        <f t="shared" si="0"/>
        <v>-0.43931535752055351</v>
      </c>
      <c r="E13" s="3">
        <f t="shared" si="1"/>
        <v>-0.30094164609909058</v>
      </c>
    </row>
    <row r="14" spans="1:7" x14ac:dyDescent="0.45">
      <c r="A14" s="2">
        <v>43831</v>
      </c>
      <c r="B14" s="3">
        <v>0.53386276960372925</v>
      </c>
      <c r="C14">
        <v>-760.04673359409423</v>
      </c>
      <c r="D14">
        <f t="shared" si="0"/>
        <v>-0.30117308532033926</v>
      </c>
      <c r="E14" s="3">
        <f t="shared" si="1"/>
        <v>-0.53386276960372925</v>
      </c>
    </row>
    <row r="15" spans="1:7" x14ac:dyDescent="0.45">
      <c r="A15" s="2">
        <v>43862</v>
      </c>
      <c r="B15" s="3">
        <v>0.45920643210411072</v>
      </c>
      <c r="C15">
        <v>-1631.20952005548</v>
      </c>
      <c r="D15">
        <f t="shared" si="0"/>
        <v>-2.0512922794360104</v>
      </c>
      <c r="E15" s="3">
        <f t="shared" si="1"/>
        <v>-0.45920643210411072</v>
      </c>
    </row>
    <row r="16" spans="1:7" x14ac:dyDescent="0.45">
      <c r="A16" s="2">
        <v>43891</v>
      </c>
      <c r="B16" s="3">
        <v>0.32922866940498352</v>
      </c>
      <c r="C16">
        <v>-1352.742922033882</v>
      </c>
      <c r="D16">
        <f t="shared" si="0"/>
        <v>-1.4918678576269948</v>
      </c>
      <c r="E16" s="3">
        <f t="shared" si="1"/>
        <v>-0.32922866940498352</v>
      </c>
    </row>
    <row r="17" spans="1:5" x14ac:dyDescent="0.45">
      <c r="A17" s="2">
        <v>43922</v>
      </c>
      <c r="B17" s="3">
        <v>6.0350030660629272E-2</v>
      </c>
      <c r="C17">
        <v>-532.09322023551351</v>
      </c>
      <c r="D17">
        <f t="shared" si="0"/>
        <v>0.15677326557402183</v>
      </c>
      <c r="E17" s="3">
        <f t="shared" si="1"/>
        <v>-6.0350030660629272E-2</v>
      </c>
    </row>
    <row r="18" spans="1:5" x14ac:dyDescent="0.45">
      <c r="A18" s="2">
        <v>43952</v>
      </c>
      <c r="B18" s="3">
        <v>0.10814707726240158</v>
      </c>
      <c r="C18">
        <v>-406.99375249887117</v>
      </c>
      <c r="D18">
        <f t="shared" si="0"/>
        <v>0.40809136944857977</v>
      </c>
      <c r="E18" s="3">
        <f t="shared" si="1"/>
        <v>-0.10814707726240158</v>
      </c>
    </row>
    <row r="19" spans="1:5" x14ac:dyDescent="0.45">
      <c r="A19" s="2">
        <v>43983</v>
      </c>
      <c r="B19" s="3">
        <v>0.12458471953868866</v>
      </c>
      <c r="C19">
        <v>-591.71892924336601</v>
      </c>
      <c r="D19">
        <f t="shared" si="0"/>
        <v>3.6988422351699794E-2</v>
      </c>
      <c r="E19" s="3">
        <f t="shared" si="1"/>
        <v>-0.12458471953868866</v>
      </c>
    </row>
    <row r="20" spans="1:5" x14ac:dyDescent="0.45">
      <c r="A20" s="2">
        <v>44013</v>
      </c>
      <c r="B20" s="3">
        <v>0.15752284228801727</v>
      </c>
      <c r="C20">
        <v>-626.94892458934919</v>
      </c>
      <c r="D20">
        <f t="shared" si="0"/>
        <v>-3.3786743922397999E-2</v>
      </c>
      <c r="E20" s="3">
        <f t="shared" si="1"/>
        <v>-0.15752284228801727</v>
      </c>
    </row>
    <row r="21" spans="1:5" x14ac:dyDescent="0.45">
      <c r="A21" s="2">
        <v>44044</v>
      </c>
      <c r="B21" s="3">
        <v>0.15583953261375427</v>
      </c>
      <c r="C21">
        <v>-454.46555688018492</v>
      </c>
      <c r="D21">
        <f t="shared" si="0"/>
        <v>0.31272306708512226</v>
      </c>
      <c r="E21" s="3">
        <f t="shared" si="1"/>
        <v>-0.15583953261375427</v>
      </c>
    </row>
    <row r="22" spans="1:5" x14ac:dyDescent="0.45">
      <c r="A22" s="2">
        <v>44075</v>
      </c>
      <c r="B22" s="3">
        <v>0.39881700277328491</v>
      </c>
      <c r="C22">
        <v>-682.41532904897201</v>
      </c>
      <c r="D22">
        <f t="shared" si="0"/>
        <v>-0.14521576796011348</v>
      </c>
      <c r="E22" s="3">
        <f t="shared" si="1"/>
        <v>-0.39881700277328491</v>
      </c>
    </row>
    <row r="23" spans="1:5" x14ac:dyDescent="0.45">
      <c r="A23" s="2">
        <v>44105</v>
      </c>
      <c r="B23" s="3">
        <v>0.52727043628692627</v>
      </c>
      <c r="C23">
        <v>-681.99097186899246</v>
      </c>
      <c r="D23">
        <f t="shared" si="0"/>
        <v>-0.14436325720393239</v>
      </c>
      <c r="E23" s="3">
        <f t="shared" si="1"/>
        <v>-0.52727043628692627</v>
      </c>
    </row>
    <row r="24" spans="1:5" x14ac:dyDescent="0.45">
      <c r="A24" s="2">
        <v>44136</v>
      </c>
      <c r="B24" s="3">
        <v>0.19272243976593018</v>
      </c>
      <c r="C24">
        <v>-343.85054132681933</v>
      </c>
      <c r="D24">
        <f t="shared" si="0"/>
        <v>0.53494268537678291</v>
      </c>
      <c r="E24" s="3">
        <f t="shared" si="1"/>
        <v>-0.19272243976593018</v>
      </c>
    </row>
    <row r="25" spans="1:5" x14ac:dyDescent="0.45">
      <c r="A25" s="2">
        <v>44166</v>
      </c>
      <c r="B25" s="3">
        <v>0.21718601882457733</v>
      </c>
      <c r="C25">
        <v>-482.59648889962853</v>
      </c>
      <c r="D25">
        <f t="shared" si="0"/>
        <v>0.25620953730549184</v>
      </c>
      <c r="E25" s="3">
        <f t="shared" si="1"/>
        <v>-0.21718601882457733</v>
      </c>
    </row>
    <row r="26" spans="1:5" x14ac:dyDescent="0.45">
      <c r="A26" s="2">
        <v>44197</v>
      </c>
      <c r="B26" s="3">
        <v>0.15986114740371704</v>
      </c>
      <c r="C26">
        <v>-292.49928560701409</v>
      </c>
      <c r="D26">
        <f t="shared" si="0"/>
        <v>0.63810459687465981</v>
      </c>
      <c r="E26" s="3">
        <f t="shared" si="1"/>
        <v>-0.15986114740371704</v>
      </c>
    </row>
    <row r="27" spans="1:5" x14ac:dyDescent="0.45">
      <c r="A27" s="2">
        <v>44228</v>
      </c>
      <c r="B27" s="3">
        <v>0.14009806513786316</v>
      </c>
      <c r="C27">
        <v>-365.60913687606109</v>
      </c>
      <c r="D27">
        <f t="shared" si="0"/>
        <v>0.49123083691456015</v>
      </c>
      <c r="E27" s="3">
        <f t="shared" si="1"/>
        <v>-0.14009806513786316</v>
      </c>
    </row>
    <row r="28" spans="1:5" x14ac:dyDescent="0.45">
      <c r="A28" s="2">
        <v>44256</v>
      </c>
      <c r="B28" s="3">
        <v>0.20818248391151428</v>
      </c>
      <c r="C28">
        <v>-457.86187053545348</v>
      </c>
      <c r="D28">
        <f t="shared" si="0"/>
        <v>0.30590005557717359</v>
      </c>
      <c r="E28" s="3">
        <f t="shared" si="1"/>
        <v>-0.20818248391151428</v>
      </c>
    </row>
    <row r="29" spans="1:5" x14ac:dyDescent="0.45">
      <c r="A29" s="2">
        <v>44287</v>
      </c>
      <c r="B29" s="3">
        <v>0.20247794687747955</v>
      </c>
      <c r="C29">
        <v>-574.46677197325027</v>
      </c>
      <c r="D29">
        <f t="shared" si="0"/>
        <v>7.1647078629908573E-2</v>
      </c>
      <c r="E29" s="3">
        <f t="shared" si="1"/>
        <v>-0.20247794687747955</v>
      </c>
    </row>
    <row r="30" spans="1:5" x14ac:dyDescent="0.45">
      <c r="A30" s="2">
        <v>44317</v>
      </c>
      <c r="B30" s="3">
        <v>0.1456151008605957</v>
      </c>
      <c r="C30">
        <v>-384.32315577275301</v>
      </c>
      <c r="D30">
        <f t="shared" si="0"/>
        <v>0.45363537923531316</v>
      </c>
      <c r="E30" s="3">
        <f t="shared" si="1"/>
        <v>-0.1456151008605957</v>
      </c>
    </row>
    <row r="31" spans="1:5" x14ac:dyDescent="0.45">
      <c r="A31" s="2">
        <v>44348</v>
      </c>
      <c r="B31" s="3">
        <v>0.19276179373264313</v>
      </c>
      <c r="C31">
        <v>-280.66396511376081</v>
      </c>
      <c r="D31">
        <f t="shared" si="0"/>
        <v>0.66188111934055738</v>
      </c>
      <c r="E31" s="3">
        <f t="shared" si="1"/>
        <v>-0.19276179373264313</v>
      </c>
    </row>
    <row r="32" spans="1:5" x14ac:dyDescent="0.45">
      <c r="A32" s="2">
        <v>44378</v>
      </c>
      <c r="B32" s="3">
        <v>0.15785320103168488</v>
      </c>
      <c r="C32">
        <v>-334.22924894712799</v>
      </c>
      <c r="D32">
        <f t="shared" si="0"/>
        <v>0.55427134441454251</v>
      </c>
      <c r="E32" s="3">
        <f t="shared" si="1"/>
        <v>-0.15785320103168488</v>
      </c>
    </row>
    <row r="33" spans="1:5" x14ac:dyDescent="0.45">
      <c r="A33" s="2">
        <v>44409</v>
      </c>
      <c r="B33" s="3">
        <v>0.25502550601959229</v>
      </c>
      <c r="C33">
        <v>-494.00810335805079</v>
      </c>
      <c r="D33">
        <f t="shared" si="0"/>
        <v>0.23328421748018505</v>
      </c>
      <c r="E33" s="3">
        <f t="shared" si="1"/>
        <v>-0.25502550601959229</v>
      </c>
    </row>
    <row r="34" spans="1:5" x14ac:dyDescent="0.45">
      <c r="A34" s="2">
        <v>44440</v>
      </c>
      <c r="B34" s="3">
        <v>0.1300828605890274</v>
      </c>
      <c r="C34">
        <v>-224.1500015311432</v>
      </c>
      <c r="D34">
        <f t="shared" si="0"/>
        <v>0.77541463332735716</v>
      </c>
      <c r="E34" s="3">
        <f t="shared" si="1"/>
        <v>-0.1300828605890274</v>
      </c>
    </row>
    <row r="35" spans="1:5" x14ac:dyDescent="0.45">
      <c r="A35" s="2">
        <v>44470</v>
      </c>
      <c r="B35" s="3">
        <v>0.26264861226081848</v>
      </c>
      <c r="C35">
        <v>-255.66167234757469</v>
      </c>
      <c r="D35">
        <f t="shared" si="0"/>
        <v>0.71210938109257749</v>
      </c>
      <c r="E35" s="3">
        <f t="shared" si="1"/>
        <v>-0.26264861226081848</v>
      </c>
    </row>
    <row r="36" spans="1:5" x14ac:dyDescent="0.45">
      <c r="A36" s="2">
        <v>44501</v>
      </c>
      <c r="B36" s="3">
        <v>0.37055096030235291</v>
      </c>
      <c r="C36">
        <v>-272.15905071524071</v>
      </c>
      <c r="D36">
        <f t="shared" si="0"/>
        <v>0.67896703504366174</v>
      </c>
      <c r="E36" s="3">
        <f t="shared" si="1"/>
        <v>-0.37055096030235291</v>
      </c>
    </row>
    <row r="37" spans="1:5" x14ac:dyDescent="0.45">
      <c r="A37" s="2">
        <v>44531</v>
      </c>
      <c r="B37" s="3">
        <v>0.16745318472385406</v>
      </c>
      <c r="C37">
        <v>-227.1831581340702</v>
      </c>
      <c r="D37">
        <f t="shared" si="0"/>
        <v>0.76932118480999834</v>
      </c>
      <c r="E37" s="3">
        <f t="shared" si="1"/>
        <v>-0.16745318472385406</v>
      </c>
    </row>
    <row r="38" spans="1:5" x14ac:dyDescent="0.45">
      <c r="A38" s="2">
        <v>44562</v>
      </c>
      <c r="B38" s="3">
        <v>0.20028039813041687</v>
      </c>
      <c r="C38">
        <v>-186.4035293721403</v>
      </c>
      <c r="D38">
        <f t="shared" si="0"/>
        <v>0.8512452662036295</v>
      </c>
      <c r="E38" s="3">
        <f t="shared" si="1"/>
        <v>-0.20028039813041687</v>
      </c>
    </row>
    <row r="39" spans="1:5" x14ac:dyDescent="0.45">
      <c r="A39" s="2">
        <v>44593</v>
      </c>
      <c r="B39" s="3">
        <v>0.31749334931373596</v>
      </c>
      <c r="C39">
        <v>-354.36433549795038</v>
      </c>
      <c r="D39">
        <f t="shared" si="0"/>
        <v>0.5138210382313404</v>
      </c>
      <c r="E39" s="3">
        <f t="shared" si="1"/>
        <v>-0.31749334931373596</v>
      </c>
    </row>
    <row r="40" spans="1:5" x14ac:dyDescent="0.45">
      <c r="A40" s="2">
        <v>44621</v>
      </c>
      <c r="B40" s="3">
        <v>0.89659297466278076</v>
      </c>
      <c r="C40">
        <v>-513.27739165397929</v>
      </c>
      <c r="D40">
        <f t="shared" si="0"/>
        <v>0.19457325343563936</v>
      </c>
      <c r="E40" s="3">
        <f t="shared" si="1"/>
        <v>-0.89659297466278076</v>
      </c>
    </row>
    <row r="41" spans="1:5" x14ac:dyDescent="0.45">
      <c r="A41" s="2">
        <v>44652</v>
      </c>
      <c r="B41" s="3">
        <v>0.4480774998664856</v>
      </c>
      <c r="C41">
        <v>-393.33268468263259</v>
      </c>
      <c r="D41">
        <f t="shared" si="0"/>
        <v>0.43553572011285685</v>
      </c>
      <c r="E41" s="3">
        <f t="shared" si="1"/>
        <v>-0.4480774998664856</v>
      </c>
    </row>
    <row r="42" spans="1:5" x14ac:dyDescent="0.45">
      <c r="A42" s="2">
        <v>44682</v>
      </c>
      <c r="B42" s="3">
        <v>0.4036458432674408</v>
      </c>
      <c r="C42">
        <v>-385.82075941152033</v>
      </c>
      <c r="D42">
        <f t="shared" si="0"/>
        <v>0.45062677405369095</v>
      </c>
      <c r="E42" s="3">
        <f t="shared" si="1"/>
        <v>-0.4036458432674408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B3AF4-2844-41ED-9260-C8CAB0739FD3}">
  <dimension ref="A1:B3"/>
  <sheetViews>
    <sheetView workbookViewId="0">
      <selection activeCell="D18" sqref="D18"/>
    </sheetView>
  </sheetViews>
  <sheetFormatPr defaultRowHeight="14.25" x14ac:dyDescent="0.45"/>
  <sheetData>
    <row r="1" spans="1:2" x14ac:dyDescent="0.45">
      <c r="B1" t="s">
        <v>3</v>
      </c>
    </row>
    <row r="2" spans="1:2" x14ac:dyDescent="0.45">
      <c r="A2" t="s">
        <v>4</v>
      </c>
      <c r="B2" t="s">
        <v>1</v>
      </c>
    </row>
    <row r="3" spans="1:2" x14ac:dyDescent="0.45">
      <c r="A3" t="s">
        <v>5</v>
      </c>
      <c r="B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TUR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Dimercurio</cp:lastModifiedBy>
  <dcterms:created xsi:type="dcterms:W3CDTF">2022-06-23T14:31:36Z</dcterms:created>
  <dcterms:modified xsi:type="dcterms:W3CDTF">2022-06-27T13:11:13Z</dcterms:modified>
</cp:coreProperties>
</file>