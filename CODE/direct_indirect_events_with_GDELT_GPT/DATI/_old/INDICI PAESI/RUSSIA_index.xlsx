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CC0B396B-4E64-42E6-A07F-3DF8E0528012}" xr6:coauthVersionLast="36" xr6:coauthVersionMax="36" xr10:uidLastSave="{00000000-0000-0000-0000-000000000000}"/>
  <bookViews>
    <workbookView xWindow="0" yWindow="0" windowWidth="20520" windowHeight="8865" activeTab="4" xr2:uid="{3F0AEC6D-5749-4280-B669-957017573F72}"/>
  </bookViews>
  <sheets>
    <sheet name="analisi" sheetId="1" r:id="rId1"/>
    <sheet name="RU" sheetId="2" r:id="rId2"/>
    <sheet name="CONFRONTO" sheetId="3" r:id="rId3"/>
    <sheet name="confronto CWT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G3" i="5"/>
  <c r="H3" i="5"/>
  <c r="I3" i="5"/>
  <c r="J3" i="5"/>
  <c r="K3" i="5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25" i="5"/>
  <c r="C25" i="5"/>
  <c r="D25" i="5"/>
  <c r="E25" i="5"/>
  <c r="F25" i="5"/>
  <c r="G25" i="5"/>
  <c r="H25" i="5"/>
  <c r="I25" i="5"/>
  <c r="J25" i="5"/>
  <c r="K25" i="5"/>
  <c r="B26" i="5"/>
  <c r="C26" i="5"/>
  <c r="D26" i="5"/>
  <c r="E26" i="5"/>
  <c r="F26" i="5"/>
  <c r="G26" i="5"/>
  <c r="H26" i="5"/>
  <c r="I26" i="5"/>
  <c r="J26" i="5"/>
  <c r="K26" i="5"/>
  <c r="B27" i="5"/>
  <c r="C27" i="5"/>
  <c r="D27" i="5"/>
  <c r="E27" i="5"/>
  <c r="F27" i="5"/>
  <c r="G27" i="5"/>
  <c r="H27" i="5"/>
  <c r="I27" i="5"/>
  <c r="J27" i="5"/>
  <c r="K27" i="5"/>
  <c r="B28" i="5"/>
  <c r="C28" i="5"/>
  <c r="D28" i="5"/>
  <c r="E28" i="5"/>
  <c r="F28" i="5"/>
  <c r="G28" i="5"/>
  <c r="H28" i="5"/>
  <c r="I28" i="5"/>
  <c r="J28" i="5"/>
  <c r="K28" i="5"/>
  <c r="B29" i="5"/>
  <c r="C29" i="5"/>
  <c r="D29" i="5"/>
  <c r="E29" i="5"/>
  <c r="F29" i="5"/>
  <c r="G29" i="5"/>
  <c r="H29" i="5"/>
  <c r="I29" i="5"/>
  <c r="J29" i="5"/>
  <c r="K29" i="5"/>
  <c r="B30" i="5"/>
  <c r="C30" i="5"/>
  <c r="D30" i="5"/>
  <c r="E30" i="5"/>
  <c r="F30" i="5"/>
  <c r="G30" i="5"/>
  <c r="H30" i="5"/>
  <c r="I30" i="5"/>
  <c r="J30" i="5"/>
  <c r="K30" i="5"/>
  <c r="B31" i="5"/>
  <c r="C31" i="5"/>
  <c r="D31" i="5"/>
  <c r="E31" i="5"/>
  <c r="F31" i="5"/>
  <c r="G31" i="5"/>
  <c r="H31" i="5"/>
  <c r="I31" i="5"/>
  <c r="J31" i="5"/>
  <c r="K31" i="5"/>
  <c r="B32" i="5"/>
  <c r="C32" i="5"/>
  <c r="D32" i="5"/>
  <c r="E32" i="5"/>
  <c r="F32" i="5"/>
  <c r="G32" i="5"/>
  <c r="H32" i="5"/>
  <c r="I32" i="5"/>
  <c r="J32" i="5"/>
  <c r="K32" i="5"/>
  <c r="B33" i="5"/>
  <c r="C33" i="5"/>
  <c r="D33" i="5"/>
  <c r="E33" i="5"/>
  <c r="F33" i="5"/>
  <c r="G33" i="5"/>
  <c r="H33" i="5"/>
  <c r="I33" i="5"/>
  <c r="J33" i="5"/>
  <c r="K33" i="5"/>
  <c r="B34" i="5"/>
  <c r="C34" i="5"/>
  <c r="D34" i="5"/>
  <c r="E34" i="5"/>
  <c r="F34" i="5"/>
  <c r="G34" i="5"/>
  <c r="H34" i="5"/>
  <c r="I34" i="5"/>
  <c r="J34" i="5"/>
  <c r="K34" i="5"/>
  <c r="B35" i="5"/>
  <c r="C35" i="5"/>
  <c r="D35" i="5"/>
  <c r="E35" i="5"/>
  <c r="F35" i="5"/>
  <c r="G35" i="5"/>
  <c r="H35" i="5"/>
  <c r="I35" i="5"/>
  <c r="J35" i="5"/>
  <c r="K35" i="5"/>
  <c r="B36" i="5"/>
  <c r="C36" i="5"/>
  <c r="D36" i="5"/>
  <c r="E36" i="5"/>
  <c r="F36" i="5"/>
  <c r="G36" i="5"/>
  <c r="H36" i="5"/>
  <c r="I36" i="5"/>
  <c r="J36" i="5"/>
  <c r="K36" i="5"/>
  <c r="B37" i="5"/>
  <c r="C37" i="5"/>
  <c r="D37" i="5"/>
  <c r="E37" i="5"/>
  <c r="F37" i="5"/>
  <c r="G37" i="5"/>
  <c r="H37" i="5"/>
  <c r="I37" i="5"/>
  <c r="J37" i="5"/>
  <c r="K37" i="5"/>
  <c r="B38" i="5"/>
  <c r="C38" i="5"/>
  <c r="D38" i="5"/>
  <c r="E38" i="5"/>
  <c r="F38" i="5"/>
  <c r="G38" i="5"/>
  <c r="H38" i="5"/>
  <c r="I38" i="5"/>
  <c r="J38" i="5"/>
  <c r="K38" i="5"/>
  <c r="B39" i="5"/>
  <c r="C39" i="5"/>
  <c r="D39" i="5"/>
  <c r="E39" i="5"/>
  <c r="F39" i="5"/>
  <c r="G39" i="5"/>
  <c r="H39" i="5"/>
  <c r="I39" i="5"/>
  <c r="J39" i="5"/>
  <c r="K39" i="5"/>
  <c r="B40" i="5"/>
  <c r="C40" i="5"/>
  <c r="D40" i="5"/>
  <c r="E40" i="5"/>
  <c r="F40" i="5"/>
  <c r="G40" i="5"/>
  <c r="H40" i="5"/>
  <c r="I40" i="5"/>
  <c r="J40" i="5"/>
  <c r="K40" i="5"/>
  <c r="B41" i="5"/>
  <c r="C41" i="5"/>
  <c r="D41" i="5"/>
  <c r="E41" i="5"/>
  <c r="F41" i="5"/>
  <c r="G41" i="5"/>
  <c r="H41" i="5"/>
  <c r="I41" i="5"/>
  <c r="J41" i="5"/>
  <c r="K41" i="5"/>
  <c r="B42" i="5"/>
  <c r="C42" i="5"/>
  <c r="D42" i="5"/>
  <c r="E42" i="5"/>
  <c r="F42" i="5"/>
  <c r="G42" i="5"/>
  <c r="H42" i="5"/>
  <c r="I42" i="5"/>
  <c r="J42" i="5"/>
  <c r="K42" i="5"/>
  <c r="D2" i="5"/>
  <c r="E2" i="5"/>
  <c r="F2" i="5"/>
  <c r="G2" i="5"/>
  <c r="H2" i="5"/>
  <c r="I2" i="5"/>
  <c r="J2" i="5"/>
  <c r="K2" i="5"/>
  <c r="C2" i="5"/>
  <c r="B2" i="5"/>
  <c r="C43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" i="1"/>
  <c r="D43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F3" i="1"/>
  <c r="F2" i="1"/>
</calcChain>
</file>

<file path=xl/sharedStrings.xml><?xml version="1.0" encoding="utf-8"?>
<sst xmlns="http://schemas.openxmlformats.org/spreadsheetml/2006/main" count="64" uniqueCount="48">
  <si>
    <t>month</t>
  </si>
  <si>
    <t>GPRC_RUS</t>
  </si>
  <si>
    <t>CWT_ID</t>
  </si>
  <si>
    <t>CWT_Stand</t>
  </si>
  <si>
    <t>RUSSIA</t>
  </si>
  <si>
    <t>CORR</t>
  </si>
  <si>
    <t>p-value</t>
  </si>
  <si>
    <t>1,37 x 10^-22</t>
  </si>
  <si>
    <t>CHINA</t>
  </si>
  <si>
    <t>SOUTH KOREA</t>
  </si>
  <si>
    <t>TURKEY</t>
  </si>
  <si>
    <t xml:space="preserve"> -0,6994</t>
  </si>
  <si>
    <t>SAUDI_ARABIA</t>
  </si>
  <si>
    <t>INDIA</t>
  </si>
  <si>
    <t>0,22409</t>
  </si>
  <si>
    <t>TAIWAN</t>
  </si>
  <si>
    <t>MEXICO</t>
  </si>
  <si>
    <t>BRAZIL</t>
  </si>
  <si>
    <t>SOUTH AFRICA</t>
  </si>
  <si>
    <t>1.24x10^-10</t>
  </si>
  <si>
    <t>0,0046</t>
  </si>
  <si>
    <t>0,9767</t>
  </si>
  <si>
    <t>3,62 x 10^-7</t>
  </si>
  <si>
    <t xml:space="preserve"> -0,1940</t>
  </si>
  <si>
    <t>3.43x10^-7</t>
  </si>
  <si>
    <t xml:space="preserve"> - GPRC_RUS </t>
  </si>
  <si>
    <t>SAUDI ARABIA</t>
  </si>
  <si>
    <t xml:space="preserve">TAIWAN </t>
  </si>
  <si>
    <t>CWT_RUS</t>
  </si>
  <si>
    <t>CWT_CHN</t>
  </si>
  <si>
    <t>CWT_TUR</t>
  </si>
  <si>
    <t>CWT_SAU</t>
  </si>
  <si>
    <t>CWT_IND</t>
  </si>
  <si>
    <t>CWT_MEX</t>
  </si>
  <si>
    <t>CWT_TWN</t>
  </si>
  <si>
    <t>CWT_KOR</t>
  </si>
  <si>
    <t>CWT_BRA</t>
  </si>
  <si>
    <t>CWT_ZAF</t>
  </si>
  <si>
    <t>ST(CWT_RUS)</t>
  </si>
  <si>
    <t>ST(CWT_CHN)</t>
  </si>
  <si>
    <t>ST(CWT_ZAF)</t>
  </si>
  <si>
    <t>ST(CWT_TUR)</t>
  </si>
  <si>
    <t>ST(CWT_KOR)</t>
  </si>
  <si>
    <t>ST(CWT_SAU)</t>
  </si>
  <si>
    <t>ST(CWT_IND)</t>
  </si>
  <si>
    <t>ST(CWT_TWN)</t>
  </si>
  <si>
    <t>ST(CWT_MEX)</t>
  </si>
  <si>
    <t>ST(CWT_BRA)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</si>
</sst>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Multi_repeat_OR(3,2)      CORR=-0.9572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43901523047475516"/>
          <c:y val="1.6958133661695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analisi!$B$1</c:f>
              <c:strCache>
                <c:ptCount val="1"/>
                <c:pt idx="0">
                  <c:v>GPRC_RUS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xVal>
          <c:yVal>
            <c:numRef>
              <c:f>analisi!$B$2:$B$42</c:f>
              <c:numCache>
                <c:formatCode>#,##0.00</c:formatCode>
                <c:ptCount val="41"/>
                <c:pt idx="0">
                  <c:v>0.99872505664825439</c:v>
                </c:pt>
                <c:pt idx="1">
                  <c:v>1.0575016736984253</c:v>
                </c:pt>
                <c:pt idx="2">
                  <c:v>0.56311005353927612</c:v>
                </c:pt>
                <c:pt idx="3">
                  <c:v>0.80580174922943115</c:v>
                </c:pt>
                <c:pt idx="4">
                  <c:v>0.97137451171875</c:v>
                </c:pt>
                <c:pt idx="5">
                  <c:v>0.90171712636947632</c:v>
                </c:pt>
                <c:pt idx="6">
                  <c:v>0.80081409215927124</c:v>
                </c:pt>
                <c:pt idx="7">
                  <c:v>0.83620917797088623</c:v>
                </c:pt>
                <c:pt idx="8">
                  <c:v>0.58018511533737183</c:v>
                </c:pt>
                <c:pt idx="9">
                  <c:v>1.072059154510498</c:v>
                </c:pt>
                <c:pt idx="10">
                  <c:v>0.47095069289207458</c:v>
                </c:pt>
                <c:pt idx="11">
                  <c:v>0.58246773481369019</c:v>
                </c:pt>
                <c:pt idx="12">
                  <c:v>1.1780277490615845</c:v>
                </c:pt>
                <c:pt idx="13">
                  <c:v>0.65983057022094727</c:v>
                </c:pt>
                <c:pt idx="14">
                  <c:v>0.4275696873664856</c:v>
                </c:pt>
                <c:pt idx="15">
                  <c:v>0.35281556844711304</c:v>
                </c:pt>
                <c:pt idx="16">
                  <c:v>0.29289832711219788</c:v>
                </c:pt>
                <c:pt idx="17">
                  <c:v>0.48911038041114807</c:v>
                </c:pt>
                <c:pt idx="18">
                  <c:v>0.40055808424949646</c:v>
                </c:pt>
                <c:pt idx="19">
                  <c:v>0.51204419136047363</c:v>
                </c:pt>
                <c:pt idx="20">
                  <c:v>0.93206667900085449</c:v>
                </c:pt>
                <c:pt idx="21">
                  <c:v>0.85206902027130127</c:v>
                </c:pt>
                <c:pt idx="22">
                  <c:v>0.45427429676055908</c:v>
                </c:pt>
                <c:pt idx="23">
                  <c:v>0.57601511478424072</c:v>
                </c:pt>
                <c:pt idx="24">
                  <c:v>0.60290491580963135</c:v>
                </c:pt>
                <c:pt idx="25">
                  <c:v>0.52536773681640625</c:v>
                </c:pt>
                <c:pt idx="26">
                  <c:v>0.65622735023498535</c:v>
                </c:pt>
                <c:pt idx="27">
                  <c:v>1.2389721870422363</c:v>
                </c:pt>
                <c:pt idx="28">
                  <c:v>0.85020434856414795</c:v>
                </c:pt>
                <c:pt idx="29">
                  <c:v>0.84815192222595215</c:v>
                </c:pt>
                <c:pt idx="30">
                  <c:v>0.52462971210479736</c:v>
                </c:pt>
                <c:pt idx="31">
                  <c:v>0.71007102727890015</c:v>
                </c:pt>
                <c:pt idx="32">
                  <c:v>0.62150704860687256</c:v>
                </c:pt>
                <c:pt idx="33">
                  <c:v>0.56676805019378662</c:v>
                </c:pt>
                <c:pt idx="34">
                  <c:v>1.2384202480316162</c:v>
                </c:pt>
                <c:pt idx="35">
                  <c:v>1.7963160276412964</c:v>
                </c:pt>
                <c:pt idx="36">
                  <c:v>2.8139395713806152</c:v>
                </c:pt>
                <c:pt idx="37">
                  <c:v>5.4910736083984375</c:v>
                </c:pt>
                <c:pt idx="38">
                  <c:v>9.0306835174560547</c:v>
                </c:pt>
                <c:pt idx="39">
                  <c:v>4.9046320915222168</c:v>
                </c:pt>
                <c:pt idx="40">
                  <c:v>3.046875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B-44C4-9821-36606F9096D0}"/>
            </c:ext>
          </c:extLst>
        </c:ser>
        <c:ser>
          <c:idx val="1"/>
          <c:order val="1"/>
          <c:tx>
            <c:strRef>
              <c:f>analisi!$D$1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xVal>
          <c:yVal>
            <c:numRef>
              <c:f>analisi!$D$2:$D$42</c:f>
              <c:numCache>
                <c:formatCode>General</c:formatCode>
                <c:ptCount val="41"/>
                <c:pt idx="0">
                  <c:v>-1.318302186149364E-2</c:v>
                </c:pt>
                <c:pt idx="1">
                  <c:v>4.2536643787692792E-2</c:v>
                </c:pt>
                <c:pt idx="2">
                  <c:v>-4.3477838280034306E-3</c:v>
                </c:pt>
                <c:pt idx="3">
                  <c:v>0.12438656833447254</c:v>
                </c:pt>
                <c:pt idx="4">
                  <c:v>0.16929197431398182</c:v>
                </c:pt>
                <c:pt idx="5">
                  <c:v>0.13561673032175262</c:v>
                </c:pt>
                <c:pt idx="6">
                  <c:v>0.13988892624544405</c:v>
                </c:pt>
                <c:pt idx="7">
                  <c:v>0.25742477897592114</c:v>
                </c:pt>
                <c:pt idx="8">
                  <c:v>0.38326239384066479</c:v>
                </c:pt>
                <c:pt idx="9">
                  <c:v>0.23073744910385338</c:v>
                </c:pt>
                <c:pt idx="10">
                  <c:v>0.33581937071924944</c:v>
                </c:pt>
                <c:pt idx="11">
                  <c:v>0.11867487047079649</c:v>
                </c:pt>
                <c:pt idx="12">
                  <c:v>0.40390606213708402</c:v>
                </c:pt>
                <c:pt idx="13">
                  <c:v>0.13705951954089821</c:v>
                </c:pt>
                <c:pt idx="14">
                  <c:v>0.32606614022594449</c:v>
                </c:pt>
                <c:pt idx="15">
                  <c:v>0.4265368992469401</c:v>
                </c:pt>
                <c:pt idx="16">
                  <c:v>0.37133233531634846</c:v>
                </c:pt>
                <c:pt idx="17">
                  <c:v>0.388812456354447</c:v>
                </c:pt>
                <c:pt idx="18">
                  <c:v>0.29317473920933396</c:v>
                </c:pt>
                <c:pt idx="19">
                  <c:v>0.16172532882688426</c:v>
                </c:pt>
                <c:pt idx="20">
                  <c:v>0.14581422837668345</c:v>
                </c:pt>
                <c:pt idx="21">
                  <c:v>0.50286568376586571</c:v>
                </c:pt>
                <c:pt idx="22">
                  <c:v>0.71381837905983359</c:v>
                </c:pt>
                <c:pt idx="23">
                  <c:v>0.34996772560345768</c:v>
                </c:pt>
                <c:pt idx="24">
                  <c:v>0.26859070013844827</c:v>
                </c:pt>
                <c:pt idx="25">
                  <c:v>0.24613400553925713</c:v>
                </c:pt>
                <c:pt idx="26">
                  <c:v>0.41311695173507718</c:v>
                </c:pt>
                <c:pt idx="27">
                  <c:v>5.9347376926983678E-2</c:v>
                </c:pt>
                <c:pt idx="28">
                  <c:v>0.45469656249090884</c:v>
                </c:pt>
                <c:pt idx="29">
                  <c:v>0.38710141945859811</c:v>
                </c:pt>
                <c:pt idx="30">
                  <c:v>0.56434044615126233</c:v>
                </c:pt>
                <c:pt idx="31">
                  <c:v>0.61251557146486246</c:v>
                </c:pt>
                <c:pt idx="32">
                  <c:v>0.53993887322562173</c:v>
                </c:pt>
                <c:pt idx="33">
                  <c:v>0.55616553466256369</c:v>
                </c:pt>
                <c:pt idx="34">
                  <c:v>0.45376206237592859</c:v>
                </c:pt>
                <c:pt idx="35">
                  <c:v>0.33871674826948578</c:v>
                </c:pt>
                <c:pt idx="36">
                  <c:v>2.4015843392139875E-2</c:v>
                </c:pt>
                <c:pt idx="37">
                  <c:v>-2.1393898256106585</c:v>
                </c:pt>
                <c:pt idx="38">
                  <c:v>-4.6485891323948794</c:v>
                </c:pt>
                <c:pt idx="39">
                  <c:v>-2.8961074881155442</c:v>
                </c:pt>
                <c:pt idx="40">
                  <c:v>-1.3755440477981078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0B-44C4-9821-36606F909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800303"/>
        <c:axId val="370236255"/>
      </c:scatterChart>
      <c:valAx>
        <c:axId val="55380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36255"/>
        <c:crosses val="autoZero"/>
        <c:crossBetween val="midCat"/>
      </c:valAx>
      <c:valAx>
        <c:axId val="3702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0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analisi!$B$1</c:f>
              <c:strCache>
                <c:ptCount val="1"/>
                <c:pt idx="0">
                  <c:v>GPRC_RUS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analisi!$B$2:$B$42</c:f>
              <c:numCache>
                <c:formatCode>#,##0.00</c:formatCode>
                <c:ptCount val="41"/>
                <c:pt idx="0">
                  <c:v>0.99872505664825439</c:v>
                </c:pt>
                <c:pt idx="1">
                  <c:v>1.0575016736984253</c:v>
                </c:pt>
                <c:pt idx="2">
                  <c:v>0.56311005353927612</c:v>
                </c:pt>
                <c:pt idx="3">
                  <c:v>0.80580174922943115</c:v>
                </c:pt>
                <c:pt idx="4">
                  <c:v>0.97137451171875</c:v>
                </c:pt>
                <c:pt idx="5">
                  <c:v>0.90171712636947632</c:v>
                </c:pt>
                <c:pt idx="6">
                  <c:v>0.80081409215927124</c:v>
                </c:pt>
                <c:pt idx="7">
                  <c:v>0.83620917797088623</c:v>
                </c:pt>
                <c:pt idx="8">
                  <c:v>0.58018511533737183</c:v>
                </c:pt>
                <c:pt idx="9">
                  <c:v>1.072059154510498</c:v>
                </c:pt>
                <c:pt idx="10">
                  <c:v>0.47095069289207458</c:v>
                </c:pt>
                <c:pt idx="11">
                  <c:v>0.58246773481369019</c:v>
                </c:pt>
                <c:pt idx="12">
                  <c:v>1.1780277490615845</c:v>
                </c:pt>
                <c:pt idx="13">
                  <c:v>0.65983057022094727</c:v>
                </c:pt>
                <c:pt idx="14">
                  <c:v>0.4275696873664856</c:v>
                </c:pt>
                <c:pt idx="15">
                  <c:v>0.35281556844711304</c:v>
                </c:pt>
                <c:pt idx="16">
                  <c:v>0.29289832711219788</c:v>
                </c:pt>
                <c:pt idx="17">
                  <c:v>0.48911038041114807</c:v>
                </c:pt>
                <c:pt idx="18">
                  <c:v>0.40055808424949646</c:v>
                </c:pt>
                <c:pt idx="19">
                  <c:v>0.51204419136047363</c:v>
                </c:pt>
                <c:pt idx="20">
                  <c:v>0.93206667900085449</c:v>
                </c:pt>
                <c:pt idx="21">
                  <c:v>0.85206902027130127</c:v>
                </c:pt>
                <c:pt idx="22">
                  <c:v>0.45427429676055908</c:v>
                </c:pt>
                <c:pt idx="23">
                  <c:v>0.57601511478424072</c:v>
                </c:pt>
                <c:pt idx="24">
                  <c:v>0.60290491580963135</c:v>
                </c:pt>
                <c:pt idx="25">
                  <c:v>0.52536773681640625</c:v>
                </c:pt>
                <c:pt idx="26">
                  <c:v>0.65622735023498535</c:v>
                </c:pt>
                <c:pt idx="27">
                  <c:v>1.2389721870422363</c:v>
                </c:pt>
                <c:pt idx="28">
                  <c:v>0.85020434856414795</c:v>
                </c:pt>
                <c:pt idx="29">
                  <c:v>0.84815192222595215</c:v>
                </c:pt>
                <c:pt idx="30">
                  <c:v>0.52462971210479736</c:v>
                </c:pt>
                <c:pt idx="31">
                  <c:v>0.71007102727890015</c:v>
                </c:pt>
                <c:pt idx="32">
                  <c:v>0.62150704860687256</c:v>
                </c:pt>
                <c:pt idx="33">
                  <c:v>0.56676805019378662</c:v>
                </c:pt>
                <c:pt idx="34">
                  <c:v>1.2384202480316162</c:v>
                </c:pt>
                <c:pt idx="35">
                  <c:v>1.7963160276412964</c:v>
                </c:pt>
                <c:pt idx="36">
                  <c:v>2.8139395713806152</c:v>
                </c:pt>
                <c:pt idx="37">
                  <c:v>5.4910736083984375</c:v>
                </c:pt>
                <c:pt idx="38">
                  <c:v>9.0306835174560547</c:v>
                </c:pt>
                <c:pt idx="39">
                  <c:v>4.9046320915222168</c:v>
                </c:pt>
                <c:pt idx="40">
                  <c:v>3.046875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F-48BD-8042-F186D76D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262303"/>
        <c:axId val="565363439"/>
      </c:lineChart>
      <c:lineChart>
        <c:grouping val="standard"/>
        <c:varyColors val="0"/>
        <c:ser>
          <c:idx val="1"/>
          <c:order val="1"/>
          <c:tx>
            <c:strRef>
              <c:f>analisi!$C$1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analisi!$C$2:$C$42</c:f>
              <c:numCache>
                <c:formatCode>General</c:formatCode>
                <c:ptCount val="41"/>
                <c:pt idx="0">
                  <c:v>-2357.0626331178369</c:v>
                </c:pt>
                <c:pt idx="1">
                  <c:v>-2232.6716382298209</c:v>
                </c:pt>
                <c:pt idx="2">
                  <c:v>-2337.3384650659718</c:v>
                </c:pt>
                <c:pt idx="3">
                  <c:v>-2049.946321642577</c:v>
                </c:pt>
                <c:pt idx="4">
                  <c:v>-1949.6975484211071</c:v>
                </c:pt>
                <c:pt idx="5">
                  <c:v>-2024.8756216289321</c:v>
                </c:pt>
                <c:pt idx="6">
                  <c:v>-2015.3381864144001</c:v>
                </c:pt>
                <c:pt idx="7">
                  <c:v>-1752.946058144893</c:v>
                </c:pt>
                <c:pt idx="8">
                  <c:v>-1472.0207165264981</c:v>
                </c:pt>
                <c:pt idx="9">
                  <c:v>-1812.524009215022</c:v>
                </c:pt>
                <c:pt idx="10">
                  <c:v>-1577.93457616313</c:v>
                </c:pt>
                <c:pt idx="11">
                  <c:v>-2062.6973633346729</c:v>
                </c:pt>
                <c:pt idx="12">
                  <c:v>-1425.9348973168619</c:v>
                </c:pt>
                <c:pt idx="13">
                  <c:v>-2021.6546764869929</c:v>
                </c:pt>
                <c:pt idx="14">
                  <c:v>-1599.708110341759</c:v>
                </c:pt>
                <c:pt idx="15">
                  <c:v>-1375.4128363811869</c:v>
                </c:pt>
                <c:pt idx="16">
                  <c:v>-1498.6538958828719</c:v>
                </c:pt>
                <c:pt idx="17">
                  <c:v>-1459.630516590147</c:v>
                </c:pt>
                <c:pt idx="18">
                  <c:v>-1673.1362985415319</c:v>
                </c:pt>
                <c:pt idx="19">
                  <c:v>-1966.589655527976</c:v>
                </c:pt>
                <c:pt idx="20">
                  <c:v>-2002.110285303911</c:v>
                </c:pt>
                <c:pt idx="21">
                  <c:v>-1205.013151920037</c:v>
                </c:pt>
                <c:pt idx="22">
                  <c:v>-734.07321830418834</c:v>
                </c:pt>
                <c:pt idx="23">
                  <c:v>-1546.34917593557</c:v>
                </c:pt>
                <c:pt idx="24">
                  <c:v>-1728.0187721307821</c:v>
                </c:pt>
                <c:pt idx="25">
                  <c:v>-1778.152069783305</c:v>
                </c:pt>
                <c:pt idx="26">
                  <c:v>-1405.3721084424319</c:v>
                </c:pt>
                <c:pt idx="27">
                  <c:v>-2195.1426294744738</c:v>
                </c:pt>
                <c:pt idx="28">
                  <c:v>-1312.5479845229111</c:v>
                </c:pt>
                <c:pt idx="29">
                  <c:v>-1463.4503094637221</c:v>
                </c:pt>
                <c:pt idx="30">
                  <c:v>-1067.774229817217</c:v>
                </c:pt>
                <c:pt idx="31">
                  <c:v>-960.22599353843282</c:v>
                </c:pt>
                <c:pt idx="32">
                  <c:v>-1122.249358080971</c:v>
                </c:pt>
                <c:pt idx="33">
                  <c:v>-1086.0242562908691</c:v>
                </c:pt>
                <c:pt idx="34">
                  <c:v>-1314.634203054035</c:v>
                </c:pt>
                <c:pt idx="35">
                  <c:v>-1571.46634503071</c:v>
                </c:pt>
                <c:pt idx="36">
                  <c:v>-2274.018275193333</c:v>
                </c:pt>
                <c:pt idx="37">
                  <c:v>-7103.6987906499262</c:v>
                </c:pt>
                <c:pt idx="38">
                  <c:v>-12705.343999871789</c:v>
                </c:pt>
                <c:pt idx="39">
                  <c:v>-8793.0280748734949</c:v>
                </c:pt>
                <c:pt idx="40">
                  <c:v>-5398.456393085381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F-48BD-8042-F186D76D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264303"/>
        <c:axId val="565359695"/>
      </c:lineChart>
      <c:dateAx>
        <c:axId val="5632623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63439"/>
        <c:crosses val="autoZero"/>
        <c:auto val="1"/>
        <c:lblOffset val="100"/>
        <c:baseTimeUnit val="months"/>
      </c:dateAx>
      <c:valAx>
        <c:axId val="56536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62303"/>
        <c:crosses val="autoZero"/>
        <c:crossBetween val="between"/>
      </c:valAx>
      <c:valAx>
        <c:axId val="5653596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64303"/>
        <c:crosses val="max"/>
        <c:crossBetween val="between"/>
      </c:valAx>
      <c:dateAx>
        <c:axId val="56326430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53596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            CORR= 0.9572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21379875096461E-2"/>
          <c:y val="0.18923266666558905"/>
          <c:w val="0.91947801098043036"/>
          <c:h val="0.70863704620875489"/>
        </c:manualLayout>
      </c:layout>
      <c:lineChart>
        <c:grouping val="standard"/>
        <c:varyColors val="0"/>
        <c:ser>
          <c:idx val="0"/>
          <c:order val="0"/>
          <c:tx>
            <c:strRef>
              <c:f>analisi!$D$1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analisi!$D$2:$D$42</c:f>
              <c:numCache>
                <c:formatCode>General</c:formatCode>
                <c:ptCount val="41"/>
                <c:pt idx="0">
                  <c:v>-1.318302186149364E-2</c:v>
                </c:pt>
                <c:pt idx="1">
                  <c:v>4.2536643787692792E-2</c:v>
                </c:pt>
                <c:pt idx="2">
                  <c:v>-4.3477838280034306E-3</c:v>
                </c:pt>
                <c:pt idx="3">
                  <c:v>0.12438656833447254</c:v>
                </c:pt>
                <c:pt idx="4">
                  <c:v>0.16929197431398182</c:v>
                </c:pt>
                <c:pt idx="5">
                  <c:v>0.13561673032175262</c:v>
                </c:pt>
                <c:pt idx="6">
                  <c:v>0.13988892624544405</c:v>
                </c:pt>
                <c:pt idx="7">
                  <c:v>0.25742477897592114</c:v>
                </c:pt>
                <c:pt idx="8">
                  <c:v>0.38326239384066479</c:v>
                </c:pt>
                <c:pt idx="9">
                  <c:v>0.23073744910385338</c:v>
                </c:pt>
                <c:pt idx="10">
                  <c:v>0.33581937071924944</c:v>
                </c:pt>
                <c:pt idx="11">
                  <c:v>0.11867487047079649</c:v>
                </c:pt>
                <c:pt idx="12">
                  <c:v>0.40390606213708402</c:v>
                </c:pt>
                <c:pt idx="13">
                  <c:v>0.13705951954089821</c:v>
                </c:pt>
                <c:pt idx="14">
                  <c:v>0.32606614022594449</c:v>
                </c:pt>
                <c:pt idx="15">
                  <c:v>0.4265368992469401</c:v>
                </c:pt>
                <c:pt idx="16">
                  <c:v>0.37133233531634846</c:v>
                </c:pt>
                <c:pt idx="17">
                  <c:v>0.388812456354447</c:v>
                </c:pt>
                <c:pt idx="18">
                  <c:v>0.29317473920933396</c:v>
                </c:pt>
                <c:pt idx="19">
                  <c:v>0.16172532882688426</c:v>
                </c:pt>
                <c:pt idx="20">
                  <c:v>0.14581422837668345</c:v>
                </c:pt>
                <c:pt idx="21">
                  <c:v>0.50286568376586571</c:v>
                </c:pt>
                <c:pt idx="22">
                  <c:v>0.71381837905983359</c:v>
                </c:pt>
                <c:pt idx="23">
                  <c:v>0.34996772560345768</c:v>
                </c:pt>
                <c:pt idx="24">
                  <c:v>0.26859070013844827</c:v>
                </c:pt>
                <c:pt idx="25">
                  <c:v>0.24613400553925713</c:v>
                </c:pt>
                <c:pt idx="26">
                  <c:v>0.41311695173507718</c:v>
                </c:pt>
                <c:pt idx="27">
                  <c:v>5.9347376926983678E-2</c:v>
                </c:pt>
                <c:pt idx="28">
                  <c:v>0.45469656249090884</c:v>
                </c:pt>
                <c:pt idx="29">
                  <c:v>0.38710141945859811</c:v>
                </c:pt>
                <c:pt idx="30">
                  <c:v>0.56434044615126233</c:v>
                </c:pt>
                <c:pt idx="31">
                  <c:v>0.61251557146486246</c:v>
                </c:pt>
                <c:pt idx="32">
                  <c:v>0.53993887322562173</c:v>
                </c:pt>
                <c:pt idx="33">
                  <c:v>0.55616553466256369</c:v>
                </c:pt>
                <c:pt idx="34">
                  <c:v>0.45376206237592859</c:v>
                </c:pt>
                <c:pt idx="35">
                  <c:v>0.33871674826948578</c:v>
                </c:pt>
                <c:pt idx="36">
                  <c:v>2.4015843392139875E-2</c:v>
                </c:pt>
                <c:pt idx="37">
                  <c:v>-2.1393898256106585</c:v>
                </c:pt>
                <c:pt idx="38">
                  <c:v>-4.6485891323948794</c:v>
                </c:pt>
                <c:pt idx="39">
                  <c:v>-2.8961074881155442</c:v>
                </c:pt>
                <c:pt idx="40">
                  <c:v>-1.3755440477981078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B-49C5-B854-7A92F8397227}"/>
            </c:ext>
          </c:extLst>
        </c:ser>
        <c:ser>
          <c:idx val="1"/>
          <c:order val="1"/>
          <c:tx>
            <c:strRef>
              <c:f>analisi!$E$1</c:f>
              <c:strCache>
                <c:ptCount val="1"/>
                <c:pt idx="0">
                  <c:v> - GPRC_RUS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analisi!$E$2:$E$42</c:f>
              <c:numCache>
                <c:formatCode>#,##0.00</c:formatCode>
                <c:ptCount val="41"/>
                <c:pt idx="0">
                  <c:v>-0.99872505664825439</c:v>
                </c:pt>
                <c:pt idx="1">
                  <c:v>-1.0575016736984253</c:v>
                </c:pt>
                <c:pt idx="2">
                  <c:v>-0.56311005353927612</c:v>
                </c:pt>
                <c:pt idx="3">
                  <c:v>-0.80580174922943115</c:v>
                </c:pt>
                <c:pt idx="4">
                  <c:v>-0.97137451171875</c:v>
                </c:pt>
                <c:pt idx="5">
                  <c:v>-0.90171712636947632</c:v>
                </c:pt>
                <c:pt idx="6">
                  <c:v>-0.80081409215927124</c:v>
                </c:pt>
                <c:pt idx="7">
                  <c:v>-0.83620917797088623</c:v>
                </c:pt>
                <c:pt idx="8">
                  <c:v>-0.58018511533737183</c:v>
                </c:pt>
                <c:pt idx="9">
                  <c:v>-1.072059154510498</c:v>
                </c:pt>
                <c:pt idx="10">
                  <c:v>-0.47095069289207458</c:v>
                </c:pt>
                <c:pt idx="11">
                  <c:v>-0.58246773481369019</c:v>
                </c:pt>
                <c:pt idx="12">
                  <c:v>-1.1780277490615845</c:v>
                </c:pt>
                <c:pt idx="13">
                  <c:v>-0.65983057022094727</c:v>
                </c:pt>
                <c:pt idx="14">
                  <c:v>-0.4275696873664856</c:v>
                </c:pt>
                <c:pt idx="15">
                  <c:v>-0.35281556844711304</c:v>
                </c:pt>
                <c:pt idx="16">
                  <c:v>-0.29289832711219788</c:v>
                </c:pt>
                <c:pt idx="17">
                  <c:v>-0.48911038041114807</c:v>
                </c:pt>
                <c:pt idx="18">
                  <c:v>-0.40055808424949646</c:v>
                </c:pt>
                <c:pt idx="19">
                  <c:v>-0.51204419136047363</c:v>
                </c:pt>
                <c:pt idx="20">
                  <c:v>-0.93206667900085449</c:v>
                </c:pt>
                <c:pt idx="21">
                  <c:v>-0.85206902027130127</c:v>
                </c:pt>
                <c:pt idx="22">
                  <c:v>-0.45427429676055908</c:v>
                </c:pt>
                <c:pt idx="23">
                  <c:v>-0.57601511478424072</c:v>
                </c:pt>
                <c:pt idx="24">
                  <c:v>-0.60290491580963135</c:v>
                </c:pt>
                <c:pt idx="25">
                  <c:v>-0.52536773681640625</c:v>
                </c:pt>
                <c:pt idx="26">
                  <c:v>-0.65622735023498535</c:v>
                </c:pt>
                <c:pt idx="27">
                  <c:v>-1.2389721870422363</c:v>
                </c:pt>
                <c:pt idx="28">
                  <c:v>-0.85020434856414795</c:v>
                </c:pt>
                <c:pt idx="29">
                  <c:v>-0.84815192222595215</c:v>
                </c:pt>
                <c:pt idx="30">
                  <c:v>-0.52462971210479736</c:v>
                </c:pt>
                <c:pt idx="31">
                  <c:v>-0.71007102727890015</c:v>
                </c:pt>
                <c:pt idx="32">
                  <c:v>-0.62150704860687256</c:v>
                </c:pt>
                <c:pt idx="33">
                  <c:v>-0.56676805019378662</c:v>
                </c:pt>
                <c:pt idx="34">
                  <c:v>-1.2384202480316162</c:v>
                </c:pt>
                <c:pt idx="35">
                  <c:v>-1.7963160276412964</c:v>
                </c:pt>
                <c:pt idx="36">
                  <c:v>-2.8139395713806152</c:v>
                </c:pt>
                <c:pt idx="37">
                  <c:v>-5.4910736083984375</c:v>
                </c:pt>
                <c:pt idx="38">
                  <c:v>-9.0306835174560547</c:v>
                </c:pt>
                <c:pt idx="39">
                  <c:v>-4.9046320915222168</c:v>
                </c:pt>
                <c:pt idx="40">
                  <c:v>-3.046875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B-49C5-B854-7A92F839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919599"/>
        <c:axId val="1252950367"/>
      </c:lineChart>
      <c:dateAx>
        <c:axId val="12529195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50367"/>
        <c:crosses val="autoZero"/>
        <c:auto val="1"/>
        <c:lblOffset val="100"/>
        <c:baseTimeUnit val="months"/>
      </c:dateAx>
      <c:valAx>
        <c:axId val="125295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1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analisi!$C$1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analisi!$C$2:$C$42</c:f>
              <c:numCache>
                <c:formatCode>General</c:formatCode>
                <c:ptCount val="41"/>
                <c:pt idx="0">
                  <c:v>-2357.0626331178369</c:v>
                </c:pt>
                <c:pt idx="1">
                  <c:v>-2232.6716382298209</c:v>
                </c:pt>
                <c:pt idx="2">
                  <c:v>-2337.3384650659718</c:v>
                </c:pt>
                <c:pt idx="3">
                  <c:v>-2049.946321642577</c:v>
                </c:pt>
                <c:pt idx="4">
                  <c:v>-1949.6975484211071</c:v>
                </c:pt>
                <c:pt idx="5">
                  <c:v>-2024.8756216289321</c:v>
                </c:pt>
                <c:pt idx="6">
                  <c:v>-2015.3381864144001</c:v>
                </c:pt>
                <c:pt idx="7">
                  <c:v>-1752.946058144893</c:v>
                </c:pt>
                <c:pt idx="8">
                  <c:v>-1472.0207165264981</c:v>
                </c:pt>
                <c:pt idx="9">
                  <c:v>-1812.524009215022</c:v>
                </c:pt>
                <c:pt idx="10">
                  <c:v>-1577.93457616313</c:v>
                </c:pt>
                <c:pt idx="11">
                  <c:v>-2062.6973633346729</c:v>
                </c:pt>
                <c:pt idx="12">
                  <c:v>-1425.9348973168619</c:v>
                </c:pt>
                <c:pt idx="13">
                  <c:v>-2021.6546764869929</c:v>
                </c:pt>
                <c:pt idx="14">
                  <c:v>-1599.708110341759</c:v>
                </c:pt>
                <c:pt idx="15">
                  <c:v>-1375.4128363811869</c:v>
                </c:pt>
                <c:pt idx="16">
                  <c:v>-1498.6538958828719</c:v>
                </c:pt>
                <c:pt idx="17">
                  <c:v>-1459.630516590147</c:v>
                </c:pt>
                <c:pt idx="18">
                  <c:v>-1673.1362985415319</c:v>
                </c:pt>
                <c:pt idx="19">
                  <c:v>-1966.589655527976</c:v>
                </c:pt>
                <c:pt idx="20">
                  <c:v>-2002.110285303911</c:v>
                </c:pt>
                <c:pt idx="21">
                  <c:v>-1205.013151920037</c:v>
                </c:pt>
                <c:pt idx="22">
                  <c:v>-734.07321830418834</c:v>
                </c:pt>
                <c:pt idx="23">
                  <c:v>-1546.34917593557</c:v>
                </c:pt>
                <c:pt idx="24">
                  <c:v>-1728.0187721307821</c:v>
                </c:pt>
                <c:pt idx="25">
                  <c:v>-1778.152069783305</c:v>
                </c:pt>
                <c:pt idx="26">
                  <c:v>-1405.3721084424319</c:v>
                </c:pt>
                <c:pt idx="27">
                  <c:v>-2195.1426294744738</c:v>
                </c:pt>
                <c:pt idx="28">
                  <c:v>-1312.5479845229111</c:v>
                </c:pt>
                <c:pt idx="29">
                  <c:v>-1463.4503094637221</c:v>
                </c:pt>
                <c:pt idx="30">
                  <c:v>-1067.774229817217</c:v>
                </c:pt>
                <c:pt idx="31">
                  <c:v>-960.22599353843282</c:v>
                </c:pt>
                <c:pt idx="32">
                  <c:v>-1122.249358080971</c:v>
                </c:pt>
                <c:pt idx="33">
                  <c:v>-1086.0242562908691</c:v>
                </c:pt>
                <c:pt idx="34">
                  <c:v>-1314.634203054035</c:v>
                </c:pt>
                <c:pt idx="35">
                  <c:v>-1571.46634503071</c:v>
                </c:pt>
                <c:pt idx="36">
                  <c:v>-2274.018275193333</c:v>
                </c:pt>
                <c:pt idx="37">
                  <c:v>-7103.6987906499262</c:v>
                </c:pt>
                <c:pt idx="38">
                  <c:v>-12705.343999871789</c:v>
                </c:pt>
                <c:pt idx="39">
                  <c:v>-8793.0280748734949</c:v>
                </c:pt>
                <c:pt idx="40">
                  <c:v>-5398.456393085381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F-4B98-8C3D-FD5F1C6D7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086143"/>
        <c:axId val="1408524607"/>
      </c:lineChart>
      <c:lineChart>
        <c:grouping val="standard"/>
        <c:varyColors val="0"/>
        <c:ser>
          <c:idx val="1"/>
          <c:order val="1"/>
          <c:tx>
            <c:strRef>
              <c:f>analisi!$E$1</c:f>
              <c:strCache>
                <c:ptCount val="1"/>
                <c:pt idx="0">
                  <c:v> - GPRC_RUS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analisi!$A$2:$A$42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analisi!$E$2:$E$42</c:f>
              <c:numCache>
                <c:formatCode>#,##0.00</c:formatCode>
                <c:ptCount val="41"/>
                <c:pt idx="0">
                  <c:v>-0.99872505664825439</c:v>
                </c:pt>
                <c:pt idx="1">
                  <c:v>-1.0575016736984253</c:v>
                </c:pt>
                <c:pt idx="2">
                  <c:v>-0.56311005353927612</c:v>
                </c:pt>
                <c:pt idx="3">
                  <c:v>-0.80580174922943115</c:v>
                </c:pt>
                <c:pt idx="4">
                  <c:v>-0.97137451171875</c:v>
                </c:pt>
                <c:pt idx="5">
                  <c:v>-0.90171712636947632</c:v>
                </c:pt>
                <c:pt idx="6">
                  <c:v>-0.80081409215927124</c:v>
                </c:pt>
                <c:pt idx="7">
                  <c:v>-0.83620917797088623</c:v>
                </c:pt>
                <c:pt idx="8">
                  <c:v>-0.58018511533737183</c:v>
                </c:pt>
                <c:pt idx="9">
                  <c:v>-1.072059154510498</c:v>
                </c:pt>
                <c:pt idx="10">
                  <c:v>-0.47095069289207458</c:v>
                </c:pt>
                <c:pt idx="11">
                  <c:v>-0.58246773481369019</c:v>
                </c:pt>
                <c:pt idx="12">
                  <c:v>-1.1780277490615845</c:v>
                </c:pt>
                <c:pt idx="13">
                  <c:v>-0.65983057022094727</c:v>
                </c:pt>
                <c:pt idx="14">
                  <c:v>-0.4275696873664856</c:v>
                </c:pt>
                <c:pt idx="15">
                  <c:v>-0.35281556844711304</c:v>
                </c:pt>
                <c:pt idx="16">
                  <c:v>-0.29289832711219788</c:v>
                </c:pt>
                <c:pt idx="17">
                  <c:v>-0.48911038041114807</c:v>
                </c:pt>
                <c:pt idx="18">
                  <c:v>-0.40055808424949646</c:v>
                </c:pt>
                <c:pt idx="19">
                  <c:v>-0.51204419136047363</c:v>
                </c:pt>
                <c:pt idx="20">
                  <c:v>-0.93206667900085449</c:v>
                </c:pt>
                <c:pt idx="21">
                  <c:v>-0.85206902027130127</c:v>
                </c:pt>
                <c:pt idx="22">
                  <c:v>-0.45427429676055908</c:v>
                </c:pt>
                <c:pt idx="23">
                  <c:v>-0.57601511478424072</c:v>
                </c:pt>
                <c:pt idx="24">
                  <c:v>-0.60290491580963135</c:v>
                </c:pt>
                <c:pt idx="25">
                  <c:v>-0.52536773681640625</c:v>
                </c:pt>
                <c:pt idx="26">
                  <c:v>-0.65622735023498535</c:v>
                </c:pt>
                <c:pt idx="27">
                  <c:v>-1.2389721870422363</c:v>
                </c:pt>
                <c:pt idx="28">
                  <c:v>-0.85020434856414795</c:v>
                </c:pt>
                <c:pt idx="29">
                  <c:v>-0.84815192222595215</c:v>
                </c:pt>
                <c:pt idx="30">
                  <c:v>-0.52462971210479736</c:v>
                </c:pt>
                <c:pt idx="31">
                  <c:v>-0.71007102727890015</c:v>
                </c:pt>
                <c:pt idx="32">
                  <c:v>-0.62150704860687256</c:v>
                </c:pt>
                <c:pt idx="33">
                  <c:v>-0.56676805019378662</c:v>
                </c:pt>
                <c:pt idx="34">
                  <c:v>-1.2384202480316162</c:v>
                </c:pt>
                <c:pt idx="35">
                  <c:v>-1.7963160276412964</c:v>
                </c:pt>
                <c:pt idx="36">
                  <c:v>-2.8139395713806152</c:v>
                </c:pt>
                <c:pt idx="37">
                  <c:v>-5.4910736083984375</c:v>
                </c:pt>
                <c:pt idx="38">
                  <c:v>-9.0306835174560547</c:v>
                </c:pt>
                <c:pt idx="39">
                  <c:v>-4.9046320915222168</c:v>
                </c:pt>
                <c:pt idx="40">
                  <c:v>-3.046875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FF-4B98-8C3D-FD5F1C6D7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101343"/>
        <c:axId val="1408512543"/>
      </c:lineChart>
      <c:dateAx>
        <c:axId val="14060861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24607"/>
        <c:crosses val="autoZero"/>
        <c:auto val="1"/>
        <c:lblOffset val="100"/>
        <c:baseTimeUnit val="months"/>
      </c:dateAx>
      <c:valAx>
        <c:axId val="140852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086143"/>
        <c:crosses val="autoZero"/>
        <c:crossBetween val="between"/>
      </c:valAx>
      <c:valAx>
        <c:axId val="1408512543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01343"/>
        <c:crosses val="max"/>
        <c:crossBetween val="between"/>
      </c:valAx>
      <c:dateAx>
        <c:axId val="14061013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085125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</a:t>
            </a:r>
            <a:r>
              <a:rPr lang="en-US" baseline="0"/>
              <a:t> CWT STAND</a:t>
            </a:r>
            <a:endParaRPr lang="en-US"/>
          </a:p>
        </c:rich>
      </c:tx>
      <c:layout>
        <c:manualLayout>
          <c:xMode val="edge"/>
          <c:yMode val="edge"/>
          <c:x val="0.45003669296974746"/>
          <c:y val="2.1200071922853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ST(CWT_RUS)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Sheet2!$B$2:$B$42</c:f>
              <c:numCache>
                <c:formatCode>General</c:formatCode>
                <c:ptCount val="41"/>
                <c:pt idx="0">
                  <c:v>-1.3021260865875836E-2</c:v>
                </c:pt>
                <c:pt idx="1">
                  <c:v>4.2014702011245075E-2</c:v>
                </c:pt>
                <c:pt idx="2">
                  <c:v>-4.2944347667534374E-3</c:v>
                </c:pt>
                <c:pt idx="3">
                  <c:v>0.12286029496963519</c:v>
                </c:pt>
                <c:pt idx="4">
                  <c:v>0.16721469350516197</c:v>
                </c:pt>
                <c:pt idx="5">
                  <c:v>0.1339526583396409</c:v>
                </c:pt>
                <c:pt idx="6">
                  <c:v>0.13817243269615664</c:v>
                </c:pt>
                <c:pt idx="7">
                  <c:v>0.25426607310549637</c:v>
                </c:pt>
                <c:pt idx="8">
                  <c:v>0.378559609679196</c:v>
                </c:pt>
                <c:pt idx="9">
                  <c:v>0.22790620753530433</c:v>
                </c:pt>
                <c:pt idx="10">
                  <c:v>0.33169873158764329</c:v>
                </c:pt>
                <c:pt idx="11">
                  <c:v>0.11721868194256212</c:v>
                </c:pt>
                <c:pt idx="12">
                  <c:v>0.39894997183898606</c:v>
                </c:pt>
                <c:pt idx="13">
                  <c:v>0.13537774395311794</c:v>
                </c:pt>
                <c:pt idx="14">
                  <c:v>0.32206517716646066</c:v>
                </c:pt>
                <c:pt idx="15">
                  <c:v>0.42130311944934684</c:v>
                </c:pt>
                <c:pt idx="16">
                  <c:v>0.36677593778496703</c:v>
                </c:pt>
                <c:pt idx="17">
                  <c:v>0.38404157068731415</c:v>
                </c:pt>
                <c:pt idx="18">
                  <c:v>0.28957736690708408</c:v>
                </c:pt>
                <c:pt idx="19">
                  <c:v>0.15974089381020065</c:v>
                </c:pt>
                <c:pt idx="20">
                  <c:v>0.1440250289802727</c:v>
                </c:pt>
                <c:pt idx="21">
                  <c:v>0.49669531899497865</c:v>
                </c:pt>
                <c:pt idx="22">
                  <c:v>0.70505953962983337</c:v>
                </c:pt>
                <c:pt idx="23">
                  <c:v>0.34567348045067758</c:v>
                </c:pt>
                <c:pt idx="24">
                  <c:v>0.26529498391158041</c:v>
                </c:pt>
                <c:pt idx="25">
                  <c:v>0.24311384201303832</c:v>
                </c:pt>
                <c:pt idx="26">
                  <c:v>0.40804784010639578</c:v>
                </c:pt>
                <c:pt idx="27">
                  <c:v>5.8619160674300758E-2</c:v>
                </c:pt>
                <c:pt idx="28">
                  <c:v>0.44911725226710036</c:v>
                </c:pt>
                <c:pt idx="29">
                  <c:v>0.38235152890432472</c:v>
                </c:pt>
                <c:pt idx="30">
                  <c:v>0.55741576125003589</c:v>
                </c:pt>
                <c:pt idx="31">
                  <c:v>0.60499975834458153</c:v>
                </c:pt>
                <c:pt idx="32">
                  <c:v>0.53331360546657725</c:v>
                </c:pt>
                <c:pt idx="33">
                  <c:v>0.54934115922265747</c:v>
                </c:pt>
                <c:pt idx="34">
                  <c:v>0.4481942188454619</c:v>
                </c:pt>
                <c:pt idx="35">
                  <c:v>0.33456055714667982</c:v>
                </c:pt>
                <c:pt idx="36">
                  <c:v>2.3721159306918035E-2</c:v>
                </c:pt>
                <c:pt idx="37">
                  <c:v>-2.1131386495266513</c:v>
                </c:pt>
                <c:pt idx="38">
                  <c:v>-4.5915490687300595</c:v>
                </c:pt>
                <c:pt idx="39">
                  <c:v>-2.8605710810902227</c:v>
                </c:pt>
                <c:pt idx="40">
                  <c:v>-1.3586655675053689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4-466D-8FA8-635F14FEAA94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ST(CWT_CHN)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-0.22663030619674623</c:v>
                </c:pt>
                <c:pt idx="1">
                  <c:v>0.32020186731441652</c:v>
                </c:pt>
                <c:pt idx="2">
                  <c:v>0.17116184001549653</c:v>
                </c:pt>
                <c:pt idx="3">
                  <c:v>0.53681995117222436</c:v>
                </c:pt>
                <c:pt idx="4">
                  <c:v>0.51806706585741402</c:v>
                </c:pt>
                <c:pt idx="5">
                  <c:v>0.81744094760144659</c:v>
                </c:pt>
                <c:pt idx="6">
                  <c:v>1.1981429905619183</c:v>
                </c:pt>
                <c:pt idx="7">
                  <c:v>-0.40156185625748747</c:v>
                </c:pt>
                <c:pt idx="8">
                  <c:v>-8.9376818572742406E-2</c:v>
                </c:pt>
                <c:pt idx="9">
                  <c:v>-0.14763632828042728</c:v>
                </c:pt>
                <c:pt idx="10">
                  <c:v>-0.24528386049258552</c:v>
                </c:pt>
                <c:pt idx="11">
                  <c:v>0.31030496439341654</c:v>
                </c:pt>
                <c:pt idx="12">
                  <c:v>-1.4315311001580202</c:v>
                </c:pt>
                <c:pt idx="13">
                  <c:v>-3.9678896775876447</c:v>
                </c:pt>
                <c:pt idx="14">
                  <c:v>-2.3856671904666418</c:v>
                </c:pt>
                <c:pt idx="15">
                  <c:v>-1.6747287952273389</c:v>
                </c:pt>
                <c:pt idx="16">
                  <c:v>-1.3059067712095762</c:v>
                </c:pt>
                <c:pt idx="17">
                  <c:v>-1.0805843567453035</c:v>
                </c:pt>
                <c:pt idx="18">
                  <c:v>-1.0447601039552525</c:v>
                </c:pt>
                <c:pt idx="19">
                  <c:v>-4.9773976792996881E-2</c:v>
                </c:pt>
                <c:pt idx="20">
                  <c:v>6.3120422463872256E-2</c:v>
                </c:pt>
                <c:pt idx="21">
                  <c:v>0.71801527062445392</c:v>
                </c:pt>
                <c:pt idx="22">
                  <c:v>0.87023284500408449</c:v>
                </c:pt>
                <c:pt idx="23">
                  <c:v>0.2591086109056211</c:v>
                </c:pt>
                <c:pt idx="24">
                  <c:v>4.1144953201755305E-2</c:v>
                </c:pt>
                <c:pt idx="25">
                  <c:v>0.33871518044834242</c:v>
                </c:pt>
                <c:pt idx="26">
                  <c:v>-7.1804881740769641E-2</c:v>
                </c:pt>
                <c:pt idx="27">
                  <c:v>0.43711156595298672</c:v>
                </c:pt>
                <c:pt idx="28">
                  <c:v>0.52220052135566997</c:v>
                </c:pt>
                <c:pt idx="29">
                  <c:v>0.51959233681866002</c:v>
                </c:pt>
                <c:pt idx="30">
                  <c:v>0.4981897454160617</c:v>
                </c:pt>
                <c:pt idx="31">
                  <c:v>0.4885478595340173</c:v>
                </c:pt>
                <c:pt idx="32">
                  <c:v>0.57298297163731793</c:v>
                </c:pt>
                <c:pt idx="33">
                  <c:v>0.80574103208583236</c:v>
                </c:pt>
                <c:pt idx="34">
                  <c:v>0.91811864872560334</c:v>
                </c:pt>
                <c:pt idx="35">
                  <c:v>0.7659524583695414</c:v>
                </c:pt>
                <c:pt idx="36">
                  <c:v>0.79895678739049514</c:v>
                </c:pt>
                <c:pt idx="37">
                  <c:v>0.61407780327133299</c:v>
                </c:pt>
                <c:pt idx="38">
                  <c:v>0.1031252554587328</c:v>
                </c:pt>
                <c:pt idx="39">
                  <c:v>0.37607583286333474</c:v>
                </c:pt>
                <c:pt idx="40">
                  <c:v>0.5399862952394815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4-466D-8FA8-635F14FEAA94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ST(CWT_TUR)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-0.35901183289050143</c:v>
                </c:pt>
                <c:pt idx="1">
                  <c:v>6.7409196656341624E-2</c:v>
                </c:pt>
                <c:pt idx="2">
                  <c:v>-0.40604116078785885</c:v>
                </c:pt>
                <c:pt idx="3">
                  <c:v>5.3264140529606117E-2</c:v>
                </c:pt>
                <c:pt idx="4">
                  <c:v>8.2270082120927401E-2</c:v>
                </c:pt>
                <c:pt idx="5">
                  <c:v>0.15650133506548525</c:v>
                </c:pt>
                <c:pt idx="6">
                  <c:v>-0.13736752730668131</c:v>
                </c:pt>
                <c:pt idx="7">
                  <c:v>0.25758588256781573</c:v>
                </c:pt>
                <c:pt idx="8">
                  <c:v>0.19568938144942719</c:v>
                </c:pt>
                <c:pt idx="9">
                  <c:v>-5.1347048469317516</c:v>
                </c:pt>
                <c:pt idx="10">
                  <c:v>-0.66587756340184623</c:v>
                </c:pt>
                <c:pt idx="11">
                  <c:v>-0.43931535752055351</c:v>
                </c:pt>
                <c:pt idx="12">
                  <c:v>-0.30117308532033926</c:v>
                </c:pt>
                <c:pt idx="13">
                  <c:v>-2.0512922794360104</c:v>
                </c:pt>
                <c:pt idx="14">
                  <c:v>-1.4918678576269948</c:v>
                </c:pt>
                <c:pt idx="15">
                  <c:v>0.15677326557402183</c:v>
                </c:pt>
                <c:pt idx="16">
                  <c:v>0.40809136944857977</c:v>
                </c:pt>
                <c:pt idx="17">
                  <c:v>3.6988422351699794E-2</c:v>
                </c:pt>
                <c:pt idx="18">
                  <c:v>-3.3786743922397999E-2</c:v>
                </c:pt>
                <c:pt idx="19">
                  <c:v>0.31272306708512226</c:v>
                </c:pt>
                <c:pt idx="20">
                  <c:v>-0.14521576796011348</c:v>
                </c:pt>
                <c:pt idx="21">
                  <c:v>-0.14436325720393239</c:v>
                </c:pt>
                <c:pt idx="22">
                  <c:v>0.53494268537678291</c:v>
                </c:pt>
                <c:pt idx="23">
                  <c:v>0.25620953730549184</c:v>
                </c:pt>
                <c:pt idx="24">
                  <c:v>0.63810459687465981</c:v>
                </c:pt>
                <c:pt idx="25">
                  <c:v>0.49123083691456015</c:v>
                </c:pt>
                <c:pt idx="26">
                  <c:v>0.30590005557717359</c:v>
                </c:pt>
                <c:pt idx="27">
                  <c:v>7.1647078629908573E-2</c:v>
                </c:pt>
                <c:pt idx="28">
                  <c:v>0.45363537923531316</c:v>
                </c:pt>
                <c:pt idx="29">
                  <c:v>0.66188111934055738</c:v>
                </c:pt>
                <c:pt idx="30">
                  <c:v>0.55427134441454251</c:v>
                </c:pt>
                <c:pt idx="31">
                  <c:v>0.23328421748018505</c:v>
                </c:pt>
                <c:pt idx="32">
                  <c:v>0.77541463332735716</c:v>
                </c:pt>
                <c:pt idx="33">
                  <c:v>0.71210938109257749</c:v>
                </c:pt>
                <c:pt idx="34">
                  <c:v>0.67896703504366174</c:v>
                </c:pt>
                <c:pt idx="35">
                  <c:v>0.76932118480999834</c:v>
                </c:pt>
                <c:pt idx="36">
                  <c:v>0.8512452662036295</c:v>
                </c:pt>
                <c:pt idx="37">
                  <c:v>0.5138210382313404</c:v>
                </c:pt>
                <c:pt idx="38">
                  <c:v>0.19457325343563936</c:v>
                </c:pt>
                <c:pt idx="39">
                  <c:v>0.43553572011285685</c:v>
                </c:pt>
                <c:pt idx="40">
                  <c:v>0.45062677405369095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4-466D-8FA8-635F14FEAA94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ST(CWT_KOR)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Sheet2!$E$2:$E$42</c:f>
              <c:numCache>
                <c:formatCode>General</c:formatCode>
                <c:ptCount val="41"/>
                <c:pt idx="0">
                  <c:v>0.61923610989587008</c:v>
                </c:pt>
                <c:pt idx="1">
                  <c:v>0.55645447058175324</c:v>
                </c:pt>
                <c:pt idx="2">
                  <c:v>-0.20236215466970017</c:v>
                </c:pt>
                <c:pt idx="3">
                  <c:v>2.0202946534461634E-2</c:v>
                </c:pt>
                <c:pt idx="4">
                  <c:v>-0.43813842950161963</c:v>
                </c:pt>
                <c:pt idx="5">
                  <c:v>0.11658572620181727</c:v>
                </c:pt>
                <c:pt idx="6">
                  <c:v>-0.83011796525445458</c:v>
                </c:pt>
                <c:pt idx="7">
                  <c:v>-0.73092470298535284</c:v>
                </c:pt>
                <c:pt idx="8">
                  <c:v>4.2398560628326962E-2</c:v>
                </c:pt>
                <c:pt idx="9">
                  <c:v>0.11737727379884101</c:v>
                </c:pt>
                <c:pt idx="10">
                  <c:v>0.18319027216094327</c:v>
                </c:pt>
                <c:pt idx="11">
                  <c:v>0.37109896458721897</c:v>
                </c:pt>
                <c:pt idx="12">
                  <c:v>0.10259633221796495</c:v>
                </c:pt>
                <c:pt idx="13">
                  <c:v>-2.3599117008650929</c:v>
                </c:pt>
                <c:pt idx="14">
                  <c:v>-3.2778453708428112</c:v>
                </c:pt>
                <c:pt idx="15">
                  <c:v>-1.6736282865331982</c:v>
                </c:pt>
                <c:pt idx="16">
                  <c:v>-1.2143230777281875</c:v>
                </c:pt>
                <c:pt idx="17">
                  <c:v>-2.5086628705725551</c:v>
                </c:pt>
                <c:pt idx="18">
                  <c:v>-0.93251262082685749</c:v>
                </c:pt>
                <c:pt idx="19">
                  <c:v>-0.35034036169178073</c:v>
                </c:pt>
                <c:pt idx="20">
                  <c:v>-0.1712198725517739</c:v>
                </c:pt>
                <c:pt idx="21">
                  <c:v>0.95384461840778045</c:v>
                </c:pt>
                <c:pt idx="22">
                  <c:v>0.55696642544722585</c:v>
                </c:pt>
                <c:pt idx="23">
                  <c:v>2.4830867756204744E-2</c:v>
                </c:pt>
                <c:pt idx="24">
                  <c:v>0.37116899052928076</c:v>
                </c:pt>
                <c:pt idx="25">
                  <c:v>0.76192102834105391</c:v>
                </c:pt>
                <c:pt idx="26">
                  <c:v>9.5795692543793762E-2</c:v>
                </c:pt>
                <c:pt idx="27">
                  <c:v>0.47292958330998763</c:v>
                </c:pt>
                <c:pt idx="28">
                  <c:v>1.1074271548339492</c:v>
                </c:pt>
                <c:pt idx="29">
                  <c:v>0.80957870487326156</c:v>
                </c:pt>
                <c:pt idx="30">
                  <c:v>0.71661808448803122</c:v>
                </c:pt>
                <c:pt idx="31">
                  <c:v>0.80543066377725303</c:v>
                </c:pt>
                <c:pt idx="32">
                  <c:v>0.674223421619497</c:v>
                </c:pt>
                <c:pt idx="33">
                  <c:v>0.85441061218237579</c:v>
                </c:pt>
                <c:pt idx="34">
                  <c:v>1.0087061002407645</c:v>
                </c:pt>
                <c:pt idx="35">
                  <c:v>0.77269682991360922</c:v>
                </c:pt>
                <c:pt idx="36">
                  <c:v>0.57558785398172452</c:v>
                </c:pt>
                <c:pt idx="37">
                  <c:v>0.86198030339655385</c:v>
                </c:pt>
                <c:pt idx="38">
                  <c:v>0.31582459169985511</c:v>
                </c:pt>
                <c:pt idx="39">
                  <c:v>0.73386140797749588</c:v>
                </c:pt>
                <c:pt idx="40">
                  <c:v>8.704382209645771E-2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4-466D-8FA8-635F14FEAA94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ST(CWT_SAU)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Sheet2!$F$2:$F$42</c:f>
              <c:numCache>
                <c:formatCode>General</c:formatCode>
                <c:ptCount val="41"/>
                <c:pt idx="0">
                  <c:v>-0.8763826985869646</c:v>
                </c:pt>
                <c:pt idx="1">
                  <c:v>-0.54710570338251274</c:v>
                </c:pt>
                <c:pt idx="2">
                  <c:v>-0.54842653800967156</c:v>
                </c:pt>
                <c:pt idx="3">
                  <c:v>-1.1818918204110402</c:v>
                </c:pt>
                <c:pt idx="4">
                  <c:v>-1.5630984170868121</c:v>
                </c:pt>
                <c:pt idx="5">
                  <c:v>-1.9649536616837544</c:v>
                </c:pt>
                <c:pt idx="6">
                  <c:v>-5.2607649772701791E-4</c:v>
                </c:pt>
                <c:pt idx="7">
                  <c:v>3.8818461324742794E-2</c:v>
                </c:pt>
                <c:pt idx="8">
                  <c:v>-4.575878663100565</c:v>
                </c:pt>
                <c:pt idx="9">
                  <c:v>-1.591478309694061E-2</c:v>
                </c:pt>
                <c:pt idx="10">
                  <c:v>0.30361305753577927</c:v>
                </c:pt>
                <c:pt idx="11">
                  <c:v>-0.45514760603441068</c:v>
                </c:pt>
                <c:pt idx="12">
                  <c:v>-0.70099318077300399</c:v>
                </c:pt>
                <c:pt idx="13">
                  <c:v>0.20804608044796125</c:v>
                </c:pt>
                <c:pt idx="14">
                  <c:v>-0.77625110903766181</c:v>
                </c:pt>
                <c:pt idx="15">
                  <c:v>-0.48677891156958503</c:v>
                </c:pt>
                <c:pt idx="16">
                  <c:v>0.16244618750591333</c:v>
                </c:pt>
                <c:pt idx="17">
                  <c:v>0.33930142685946346</c:v>
                </c:pt>
                <c:pt idx="18">
                  <c:v>0.46327389308109324</c:v>
                </c:pt>
                <c:pt idx="19">
                  <c:v>0.58423789473096222</c:v>
                </c:pt>
                <c:pt idx="20">
                  <c:v>0.53803653018513942</c:v>
                </c:pt>
                <c:pt idx="21">
                  <c:v>0.74578232917902587</c:v>
                </c:pt>
                <c:pt idx="22">
                  <c:v>0.70881905191099659</c:v>
                </c:pt>
                <c:pt idx="23">
                  <c:v>0.30740281876912245</c:v>
                </c:pt>
                <c:pt idx="24">
                  <c:v>0.56208679072847734</c:v>
                </c:pt>
                <c:pt idx="25">
                  <c:v>-5.755416151735461E-2</c:v>
                </c:pt>
                <c:pt idx="26">
                  <c:v>0.21336046572518061</c:v>
                </c:pt>
                <c:pt idx="27">
                  <c:v>0.53177628683098699</c:v>
                </c:pt>
                <c:pt idx="28">
                  <c:v>0.54265057494880808</c:v>
                </c:pt>
                <c:pt idx="29">
                  <c:v>0.76602326622992889</c:v>
                </c:pt>
                <c:pt idx="30">
                  <c:v>0.62136410446522872</c:v>
                </c:pt>
                <c:pt idx="31">
                  <c:v>0.80234615737757642</c:v>
                </c:pt>
                <c:pt idx="32">
                  <c:v>0.55801285957152802</c:v>
                </c:pt>
                <c:pt idx="33">
                  <c:v>0.67624030648260369</c:v>
                </c:pt>
                <c:pt idx="34">
                  <c:v>0.64569716648127196</c:v>
                </c:pt>
                <c:pt idx="35">
                  <c:v>0.60714391424853364</c:v>
                </c:pt>
                <c:pt idx="36">
                  <c:v>0.38285924535825616</c:v>
                </c:pt>
                <c:pt idx="37">
                  <c:v>0.76025229045762366</c:v>
                </c:pt>
                <c:pt idx="38">
                  <c:v>5.7028681301131173E-2</c:v>
                </c:pt>
                <c:pt idx="39">
                  <c:v>0.72056531865925</c:v>
                </c:pt>
                <c:pt idx="40">
                  <c:v>0.90371817039140823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4-466D-8FA8-635F14FEAA94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ST(CWT_IND)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Sheet2!$G$2:$G$42</c:f>
              <c:numCache>
                <c:formatCode>General</c:formatCode>
                <c:ptCount val="41"/>
                <c:pt idx="0">
                  <c:v>0.61675514627628703</c:v>
                </c:pt>
                <c:pt idx="1">
                  <c:v>-3.8001474610268202</c:v>
                </c:pt>
                <c:pt idx="2">
                  <c:v>-1.7609018129474281</c:v>
                </c:pt>
                <c:pt idx="3">
                  <c:v>-0.77926545782200929</c:v>
                </c:pt>
                <c:pt idx="4">
                  <c:v>-6.3215124146987836E-2</c:v>
                </c:pt>
                <c:pt idx="5">
                  <c:v>8.8823773708286424E-2</c:v>
                </c:pt>
                <c:pt idx="6">
                  <c:v>-2.7840244531828807E-2</c:v>
                </c:pt>
                <c:pt idx="7">
                  <c:v>-1.4140540926087553</c:v>
                </c:pt>
                <c:pt idx="8">
                  <c:v>-0.16535574379376813</c:v>
                </c:pt>
                <c:pt idx="9">
                  <c:v>0.42213763351695083</c:v>
                </c:pt>
                <c:pt idx="10">
                  <c:v>0.63157429314628621</c:v>
                </c:pt>
                <c:pt idx="11">
                  <c:v>-1.339304287835011</c:v>
                </c:pt>
                <c:pt idx="12">
                  <c:v>9.9785091635126111E-2</c:v>
                </c:pt>
                <c:pt idx="13">
                  <c:v>0.17258291874681872</c:v>
                </c:pt>
                <c:pt idx="14">
                  <c:v>-0.24747576141735889</c:v>
                </c:pt>
                <c:pt idx="15">
                  <c:v>-0.27063795481993924</c:v>
                </c:pt>
                <c:pt idx="16">
                  <c:v>-0.59933957615503497</c:v>
                </c:pt>
                <c:pt idx="17">
                  <c:v>-1.625433008301453</c:v>
                </c:pt>
                <c:pt idx="18">
                  <c:v>-0.58433729375968579</c:v>
                </c:pt>
                <c:pt idx="19">
                  <c:v>-0.41993084877164089</c:v>
                </c:pt>
                <c:pt idx="20">
                  <c:v>-0.46027599112855483</c:v>
                </c:pt>
                <c:pt idx="21">
                  <c:v>0.7422881740079641</c:v>
                </c:pt>
                <c:pt idx="22">
                  <c:v>0.99503153857495352</c:v>
                </c:pt>
                <c:pt idx="23">
                  <c:v>0.70653172083473303</c:v>
                </c:pt>
                <c:pt idx="24">
                  <c:v>0.54100100080358304</c:v>
                </c:pt>
                <c:pt idx="25">
                  <c:v>0.36734584035243939</c:v>
                </c:pt>
                <c:pt idx="26">
                  <c:v>0.7241868024577095</c:v>
                </c:pt>
                <c:pt idx="27">
                  <c:v>-0.61732132449521093</c:v>
                </c:pt>
                <c:pt idx="28">
                  <c:v>-1.2758200380048907</c:v>
                </c:pt>
                <c:pt idx="29">
                  <c:v>0.13727863186372699</c:v>
                </c:pt>
                <c:pt idx="30">
                  <c:v>0.24261917136567795</c:v>
                </c:pt>
                <c:pt idx="31">
                  <c:v>0.88307718060893181</c:v>
                </c:pt>
                <c:pt idx="32">
                  <c:v>0.870367468100676</c:v>
                </c:pt>
                <c:pt idx="33">
                  <c:v>0.82775241099049746</c:v>
                </c:pt>
                <c:pt idx="34">
                  <c:v>0.90656971251542673</c:v>
                </c:pt>
                <c:pt idx="35">
                  <c:v>0.97700120127527001</c:v>
                </c:pt>
                <c:pt idx="36">
                  <c:v>1.0374251194646258</c:v>
                </c:pt>
                <c:pt idx="37">
                  <c:v>0.83076436739931703</c:v>
                </c:pt>
                <c:pt idx="38">
                  <c:v>0.81578705057244905</c:v>
                </c:pt>
                <c:pt idx="39">
                  <c:v>0.90916820791196074</c:v>
                </c:pt>
                <c:pt idx="40">
                  <c:v>0.90480156543666379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34-466D-8FA8-635F14FEAA94}"/>
            </c:ext>
          </c:extLst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ST(CWT_TWN)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Sheet2!$H$2:$H$42</c:f>
              <c:numCache>
                <c:formatCode>General</c:formatCode>
                <c:ptCount val="41"/>
                <c:pt idx="0">
                  <c:v>0.89875103732476258</c:v>
                </c:pt>
                <c:pt idx="1">
                  <c:v>1.2418985425113673</c:v>
                </c:pt>
                <c:pt idx="2">
                  <c:v>1.5912828465374862</c:v>
                </c:pt>
                <c:pt idx="3">
                  <c:v>1.1329926122302596</c:v>
                </c:pt>
                <c:pt idx="4">
                  <c:v>1.7409039195422371</c:v>
                </c:pt>
                <c:pt idx="5">
                  <c:v>-0.90784521545212771</c:v>
                </c:pt>
                <c:pt idx="6">
                  <c:v>0.52684458027875269</c:v>
                </c:pt>
                <c:pt idx="7">
                  <c:v>0.22715439793385717</c:v>
                </c:pt>
                <c:pt idx="8">
                  <c:v>1.2065955064733604</c:v>
                </c:pt>
                <c:pt idx="9">
                  <c:v>-0.62517840580975292</c:v>
                </c:pt>
                <c:pt idx="10">
                  <c:v>1.4438171345767112</c:v>
                </c:pt>
                <c:pt idx="11">
                  <c:v>0.8014081508075297</c:v>
                </c:pt>
                <c:pt idx="12">
                  <c:v>-0.16674496742206985</c:v>
                </c:pt>
                <c:pt idx="13">
                  <c:v>-1.7948663221200321</c:v>
                </c:pt>
                <c:pt idx="14">
                  <c:v>-1.0787125042865893</c:v>
                </c:pt>
                <c:pt idx="15">
                  <c:v>-1.5412400393836716</c:v>
                </c:pt>
                <c:pt idx="16">
                  <c:v>-0.52885921490876098</c:v>
                </c:pt>
                <c:pt idx="17">
                  <c:v>0.23187290769102362</c:v>
                </c:pt>
                <c:pt idx="18">
                  <c:v>-0.289934008098722</c:v>
                </c:pt>
                <c:pt idx="19">
                  <c:v>-0.18539247461019004</c:v>
                </c:pt>
                <c:pt idx="20">
                  <c:v>-0.10912598927403316</c:v>
                </c:pt>
                <c:pt idx="21">
                  <c:v>0.72169087176508484</c:v>
                </c:pt>
                <c:pt idx="22">
                  <c:v>1.2923874862253584</c:v>
                </c:pt>
                <c:pt idx="23">
                  <c:v>0.4054674580449068</c:v>
                </c:pt>
                <c:pt idx="24">
                  <c:v>-8.1778893206892203E-2</c:v>
                </c:pt>
                <c:pt idx="25">
                  <c:v>0.45648409747804675</c:v>
                </c:pt>
                <c:pt idx="26">
                  <c:v>0.17377391967050509</c:v>
                </c:pt>
                <c:pt idx="27">
                  <c:v>-2.6889814307934028</c:v>
                </c:pt>
                <c:pt idx="28">
                  <c:v>-1.1643441413980335</c:v>
                </c:pt>
                <c:pt idx="29">
                  <c:v>-0.60980874989331002</c:v>
                </c:pt>
                <c:pt idx="30">
                  <c:v>-0.40734226136533619</c:v>
                </c:pt>
                <c:pt idx="31">
                  <c:v>0.55741084189997803</c:v>
                </c:pt>
                <c:pt idx="32">
                  <c:v>0.55568222190796412</c:v>
                </c:pt>
                <c:pt idx="33">
                  <c:v>-0.81386858822973429</c:v>
                </c:pt>
                <c:pt idx="34">
                  <c:v>-0.72690553867918639</c:v>
                </c:pt>
                <c:pt idx="35">
                  <c:v>0.20876234022431397</c:v>
                </c:pt>
                <c:pt idx="36">
                  <c:v>0.60038863824293187</c:v>
                </c:pt>
                <c:pt idx="37">
                  <c:v>0.31265987545292578</c:v>
                </c:pt>
                <c:pt idx="38">
                  <c:v>-0.93057891469244558</c:v>
                </c:pt>
                <c:pt idx="39">
                  <c:v>3.2153386090062755E-2</c:v>
                </c:pt>
                <c:pt idx="40">
                  <c:v>-1.708875113285151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34-466D-8FA8-635F14FEAA94}"/>
            </c:ext>
          </c:extLst>
        </c:ser>
        <c:ser>
          <c:idx val="7"/>
          <c:order val="7"/>
          <c:tx>
            <c:strRef>
              <c:f>Sheet2!$I$1</c:f>
              <c:strCache>
                <c:ptCount val="1"/>
                <c:pt idx="0">
                  <c:v>ST(CWT_MEX)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Sheet2!$I$2:$I$42</c:f>
              <c:numCache>
                <c:formatCode>General</c:formatCode>
                <c:ptCount val="41"/>
                <c:pt idx="0">
                  <c:v>-2.4332316254321347</c:v>
                </c:pt>
                <c:pt idx="1">
                  <c:v>-1.5312345889549179</c:v>
                </c:pt>
                <c:pt idx="2">
                  <c:v>-0.56638077111847063</c:v>
                </c:pt>
                <c:pt idx="3">
                  <c:v>-1.1552442268378327</c:v>
                </c:pt>
                <c:pt idx="4">
                  <c:v>-0.50169899320668598</c:v>
                </c:pt>
                <c:pt idx="5">
                  <c:v>-2.1997046465672434</c:v>
                </c:pt>
                <c:pt idx="6">
                  <c:v>-1.3626902331314199</c:v>
                </c:pt>
                <c:pt idx="7">
                  <c:v>-2.3884031925089779</c:v>
                </c:pt>
                <c:pt idx="8">
                  <c:v>8.1193704486414893E-3</c:v>
                </c:pt>
                <c:pt idx="9">
                  <c:v>-5.3417399049213839E-2</c:v>
                </c:pt>
                <c:pt idx="10">
                  <c:v>-2.1252674678299002</c:v>
                </c:pt>
                <c:pt idx="11">
                  <c:v>-8.9983807044541148E-2</c:v>
                </c:pt>
                <c:pt idx="12">
                  <c:v>-7.6234575206165847E-2</c:v>
                </c:pt>
                <c:pt idx="13">
                  <c:v>-6.6750165411098614E-2</c:v>
                </c:pt>
                <c:pt idx="14">
                  <c:v>3.0782234239167979E-2</c:v>
                </c:pt>
                <c:pt idx="15">
                  <c:v>0.30713909083244739</c:v>
                </c:pt>
                <c:pt idx="16">
                  <c:v>0.22729889965571723</c:v>
                </c:pt>
                <c:pt idx="17">
                  <c:v>-0.50452182844536742</c:v>
                </c:pt>
                <c:pt idx="18">
                  <c:v>-0.10405845785677213</c:v>
                </c:pt>
                <c:pt idx="19">
                  <c:v>0.17010275101631114</c:v>
                </c:pt>
                <c:pt idx="20">
                  <c:v>0.57403318421540428</c:v>
                </c:pt>
                <c:pt idx="21">
                  <c:v>1.1407828771058852</c:v>
                </c:pt>
                <c:pt idx="22">
                  <c:v>1.1871377799989733</c:v>
                </c:pt>
                <c:pt idx="23">
                  <c:v>1.024390977446159</c:v>
                </c:pt>
                <c:pt idx="24">
                  <c:v>0.31813642906553435</c:v>
                </c:pt>
                <c:pt idx="25">
                  <c:v>0.13453500194351944</c:v>
                </c:pt>
                <c:pt idx="26">
                  <c:v>-0.16856907135266455</c:v>
                </c:pt>
                <c:pt idx="27">
                  <c:v>0.69574692102254965</c:v>
                </c:pt>
                <c:pt idx="28">
                  <c:v>0.55491333910942553</c:v>
                </c:pt>
                <c:pt idx="29">
                  <c:v>0.54783973085217708</c:v>
                </c:pt>
                <c:pt idx="30">
                  <c:v>0.9439753973976539</c:v>
                </c:pt>
                <c:pt idx="31">
                  <c:v>0.78190533388634098</c:v>
                </c:pt>
                <c:pt idx="32">
                  <c:v>0.12523633893143443</c:v>
                </c:pt>
                <c:pt idx="33">
                  <c:v>0.71643144432251027</c:v>
                </c:pt>
                <c:pt idx="34">
                  <c:v>0.95660974646818686</c:v>
                </c:pt>
                <c:pt idx="35">
                  <c:v>0.81480607418194362</c:v>
                </c:pt>
                <c:pt idx="36">
                  <c:v>0.97259752957222745</c:v>
                </c:pt>
                <c:pt idx="37">
                  <c:v>0.90048704764980159</c:v>
                </c:pt>
                <c:pt idx="38">
                  <c:v>1.0425095259606503</c:v>
                </c:pt>
                <c:pt idx="39">
                  <c:v>0.55021499640911165</c:v>
                </c:pt>
                <c:pt idx="40">
                  <c:v>0.60165902822160278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34-466D-8FA8-635F14FEAA94}"/>
            </c:ext>
          </c:extLst>
        </c:ser>
        <c:ser>
          <c:idx val="8"/>
          <c:order val="8"/>
          <c:tx>
            <c:strRef>
              <c:f>Sheet2!$J$1</c:f>
              <c:strCache>
                <c:ptCount val="1"/>
                <c:pt idx="0">
                  <c:v>ST(CWT_BRA)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Sheet2!$J$2:$J$42</c:f>
              <c:numCache>
                <c:formatCode>General</c:formatCode>
                <c:ptCount val="41"/>
                <c:pt idx="0">
                  <c:v>-2.0830871071346744</c:v>
                </c:pt>
                <c:pt idx="1">
                  <c:v>-0.60475920374626091</c:v>
                </c:pt>
                <c:pt idx="2">
                  <c:v>-0.56138157342605333</c:v>
                </c:pt>
                <c:pt idx="3">
                  <c:v>7.4781479187079919E-2</c:v>
                </c:pt>
                <c:pt idx="4">
                  <c:v>-0.46529645900969807</c:v>
                </c:pt>
                <c:pt idx="5">
                  <c:v>0.33395019815868049</c:v>
                </c:pt>
                <c:pt idx="6">
                  <c:v>-0.35690552502892753</c:v>
                </c:pt>
                <c:pt idx="7">
                  <c:v>-2.327951359538067</c:v>
                </c:pt>
                <c:pt idx="8">
                  <c:v>-6.0368363920334761E-2</c:v>
                </c:pt>
                <c:pt idx="9">
                  <c:v>0.63800434367712155</c:v>
                </c:pt>
                <c:pt idx="10">
                  <c:v>7.3578137287700823E-2</c:v>
                </c:pt>
                <c:pt idx="11">
                  <c:v>0.48962414919429748</c:v>
                </c:pt>
                <c:pt idx="12">
                  <c:v>0.34830965169879186</c:v>
                </c:pt>
                <c:pt idx="13">
                  <c:v>0.5488101730200895</c:v>
                </c:pt>
                <c:pt idx="14">
                  <c:v>-0.56094637447268181</c:v>
                </c:pt>
                <c:pt idx="15">
                  <c:v>-0.66709054514516353</c:v>
                </c:pt>
                <c:pt idx="16">
                  <c:v>-2.3866201256590891</c:v>
                </c:pt>
                <c:pt idx="17">
                  <c:v>-2.2893369142855162</c:v>
                </c:pt>
                <c:pt idx="18">
                  <c:v>-1.5410696331677274</c:v>
                </c:pt>
                <c:pt idx="19">
                  <c:v>-0.64225285701357937</c:v>
                </c:pt>
                <c:pt idx="20">
                  <c:v>-1.1060498639559978E-2</c:v>
                </c:pt>
                <c:pt idx="21">
                  <c:v>1.0721075180911113</c:v>
                </c:pt>
                <c:pt idx="22">
                  <c:v>0.81500205132471848</c:v>
                </c:pt>
                <c:pt idx="23">
                  <c:v>0.59198219642597971</c:v>
                </c:pt>
                <c:pt idx="24">
                  <c:v>-0.1011185844745997</c:v>
                </c:pt>
                <c:pt idx="25">
                  <c:v>0.4990205755007644</c:v>
                </c:pt>
                <c:pt idx="26">
                  <c:v>-0.8649299732202923</c:v>
                </c:pt>
                <c:pt idx="27">
                  <c:v>-0.50720622847817631</c:v>
                </c:pt>
                <c:pt idx="28">
                  <c:v>0.12434280052289119</c:v>
                </c:pt>
                <c:pt idx="29">
                  <c:v>0.46112589027650686</c:v>
                </c:pt>
                <c:pt idx="30">
                  <c:v>0.56381410563355461</c:v>
                </c:pt>
                <c:pt idx="31">
                  <c:v>0.9551041597759955</c:v>
                </c:pt>
                <c:pt idx="32">
                  <c:v>0.68956539870313927</c:v>
                </c:pt>
                <c:pt idx="33">
                  <c:v>0.2961368809926197</c:v>
                </c:pt>
                <c:pt idx="34">
                  <c:v>1.0625224535035114</c:v>
                </c:pt>
                <c:pt idx="35">
                  <c:v>1.1708887159474006</c:v>
                </c:pt>
                <c:pt idx="36">
                  <c:v>1.0574113787295774</c:v>
                </c:pt>
                <c:pt idx="37">
                  <c:v>0.74024904187665375</c:v>
                </c:pt>
                <c:pt idx="38">
                  <c:v>1.1261783143312274</c:v>
                </c:pt>
                <c:pt idx="39">
                  <c:v>1.2206989058129589</c:v>
                </c:pt>
                <c:pt idx="40">
                  <c:v>1.0781728066880234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34-466D-8FA8-635F14FEAA94}"/>
            </c:ext>
          </c:extLst>
        </c:ser>
        <c:ser>
          <c:idx val="9"/>
          <c:order val="9"/>
          <c:tx>
            <c:strRef>
              <c:f>Sheet2!$K$1</c:f>
              <c:strCache>
                <c:ptCount val="1"/>
                <c:pt idx="0">
                  <c:v>ST(CWT_ZAF)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Sheet2!$K$2:$K$42</c:f>
              <c:numCache>
                <c:formatCode>General</c:formatCode>
                <c:ptCount val="41"/>
                <c:pt idx="0">
                  <c:v>0.22971402055917359</c:v>
                </c:pt>
                <c:pt idx="1">
                  <c:v>0.67990509548417299</c:v>
                </c:pt>
                <c:pt idx="2">
                  <c:v>0.42572914682090679</c:v>
                </c:pt>
                <c:pt idx="3">
                  <c:v>0.22791748223553321</c:v>
                </c:pt>
                <c:pt idx="4">
                  <c:v>0.67685468189851983</c:v>
                </c:pt>
                <c:pt idx="5">
                  <c:v>0.85108225594014653</c:v>
                </c:pt>
                <c:pt idx="6">
                  <c:v>0.69495619307192336</c:v>
                </c:pt>
                <c:pt idx="7">
                  <c:v>0.83688752353611895</c:v>
                </c:pt>
                <c:pt idx="8">
                  <c:v>-1.7188792620806119</c:v>
                </c:pt>
                <c:pt idx="9">
                  <c:v>0.64339552033387526</c:v>
                </c:pt>
                <c:pt idx="10">
                  <c:v>0.7509511161377429</c:v>
                </c:pt>
                <c:pt idx="11">
                  <c:v>0.87308703289207501</c:v>
                </c:pt>
                <c:pt idx="12">
                  <c:v>0.77446460361387437</c:v>
                </c:pt>
                <c:pt idx="13">
                  <c:v>6.797491157789215E-2</c:v>
                </c:pt>
                <c:pt idx="14">
                  <c:v>-1.8040476829103489</c:v>
                </c:pt>
                <c:pt idx="15">
                  <c:v>-1.4799274100289672</c:v>
                </c:pt>
                <c:pt idx="16">
                  <c:v>-0.58938704611843185</c:v>
                </c:pt>
                <c:pt idx="17">
                  <c:v>-2.1305414620225083</c:v>
                </c:pt>
                <c:pt idx="18">
                  <c:v>-1.9474210145015687</c:v>
                </c:pt>
                <c:pt idx="19">
                  <c:v>-0.50381094610487298</c:v>
                </c:pt>
                <c:pt idx="20">
                  <c:v>0.25597242229459599</c:v>
                </c:pt>
                <c:pt idx="21">
                  <c:v>1.0093827779367681</c:v>
                </c:pt>
                <c:pt idx="22">
                  <c:v>0.70176928048508935</c:v>
                </c:pt>
                <c:pt idx="23">
                  <c:v>5.3877949710720102E-2</c:v>
                </c:pt>
                <c:pt idx="24">
                  <c:v>-0.54328502699434755</c:v>
                </c:pt>
                <c:pt idx="25">
                  <c:v>-0.66162398651346843</c:v>
                </c:pt>
                <c:pt idx="26">
                  <c:v>5.1163739706462319E-2</c:v>
                </c:pt>
                <c:pt idx="27">
                  <c:v>0.27079507849522055</c:v>
                </c:pt>
                <c:pt idx="28">
                  <c:v>0.56592770040193963</c:v>
                </c:pt>
                <c:pt idx="29">
                  <c:v>0.34838731806234902</c:v>
                </c:pt>
                <c:pt idx="30">
                  <c:v>-2.6424542716315607</c:v>
                </c:pt>
                <c:pt idx="31">
                  <c:v>0.81276349430077899</c:v>
                </c:pt>
                <c:pt idx="32">
                  <c:v>0.55759798154174545</c:v>
                </c:pt>
                <c:pt idx="33">
                  <c:v>0.8769216167651287</c:v>
                </c:pt>
                <c:pt idx="34">
                  <c:v>-1.6226724873993106</c:v>
                </c:pt>
                <c:pt idx="35">
                  <c:v>-0.84700397855629039</c:v>
                </c:pt>
                <c:pt idx="36">
                  <c:v>0.5469921475794981</c:v>
                </c:pt>
                <c:pt idx="37">
                  <c:v>0.70569763128391072</c:v>
                </c:pt>
                <c:pt idx="38">
                  <c:v>0.65492878058744641</c:v>
                </c:pt>
                <c:pt idx="39">
                  <c:v>0.37848496027944162</c:v>
                </c:pt>
                <c:pt idx="40">
                  <c:v>0.96747211132923938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34-466D-8FA8-635F14FEA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751360"/>
        <c:axId val="1843963328"/>
      </c:lineChart>
      <c:dateAx>
        <c:axId val="1896751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63328"/>
        <c:crosses val="autoZero"/>
        <c:auto val="1"/>
        <c:lblOffset val="100"/>
        <c:baseTimeUnit val="months"/>
      </c:dateAx>
      <c:valAx>
        <c:axId val="18439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633413</xdr:colOff>
      <xdr:row>16</xdr:row>
      <xdr:rowOff>173830</xdr:rowOff>
    </xdr:from>
    <xdr:to>
      <xdr:col>15</xdr:col>
      <xdr:colOff>85724</xdr:colOff>
      <xdr:row>41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B0410-EBB0-473A-B70B-BB570063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564356</xdr:colOff>
      <xdr:row>41</xdr:row>
      <xdr:rowOff>164306</xdr:rowOff>
    </xdr:from>
    <xdr:to>
      <xdr:col>11</xdr:col>
      <xdr:colOff>602456</xdr:colOff>
      <xdr:row>57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A8993-2CD8-499A-978D-1EFA79843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583406</xdr:colOff>
      <xdr:row>17</xdr:row>
      <xdr:rowOff>169067</xdr:rowOff>
    </xdr:from>
    <xdr:to>
      <xdr:col>20</xdr:col>
      <xdr:colOff>28576</xdr:colOff>
      <xdr:row>35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47A6FF-3313-49E6-8ACD-AFF125186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311943</xdr:colOff>
      <xdr:row>1</xdr:row>
      <xdr:rowOff>69056</xdr:rowOff>
    </xdr:from>
    <xdr:to>
      <xdr:col>16</xdr:col>
      <xdr:colOff>333375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4D9A1D-11E1-4CEB-BF1A-E38BBD18C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611979</xdr:colOff>
      <xdr:row>2</xdr:row>
      <xdr:rowOff>83343</xdr:rowOff>
    </xdr:from>
    <xdr:to>
      <xdr:col>22</xdr:col>
      <xdr:colOff>195263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0AE12-EF0A-410B-99BB-0E2A30483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7FCA-F2D6-4DD6-B0C2-5E6E118BE4E5}">
  <dimension ref="A1:F43"/>
  <sheetViews>
    <sheetView workbookViewId="0">
      <selection activeCell="C2" sqref="C2:C4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s="3" t="s">
        <v>2</v>
      </c>
      <c r="D1" t="s">
        <v>3</v>
      </c>
      <c r="E1" t="s">
        <v>25</v>
      </c>
    </row>
    <row r="2" spans="1:6" x14ac:dyDescent="0.45">
      <c r="A2" s="1">
        <v>43466</v>
      </c>
      <c r="B2" s="2">
        <v>0.99872505664825439</v>
      </c>
      <c r="C2">
        <v>-2357.0626331178369</v>
      </c>
      <c r="D2">
        <f>STANDARDIZE(C2,$F$2,$F$3)</f>
        <v>-1.318302186149364E-2</v>
      </c>
      <c r="E2" s="2">
        <f>-B2</f>
        <v>-0.99872505664825439</v>
      </c>
      <c r="F2">
        <f>AVERAGE(C2:C42)</f>
        <v>-2327.6322841400411</v>
      </c>
    </row>
    <row r="3" spans="1:6" x14ac:dyDescent="0.45">
      <c r="A3" s="1">
        <v>43497</v>
      </c>
      <c r="B3" s="2">
        <v>1.0575016736984253</v>
      </c>
      <c r="C3">
        <v>-2232.6716382298209</v>
      </c>
      <c r="D3">
        <f t="shared" ref="D3:D42" si="0">STANDARDIZE(C3,$F$2,$F$3)</f>
        <v>4.2536643787692792E-2</v>
      </c>
      <c r="E3" s="2">
        <f t="shared" ref="E3:E43" si="1">-B3</f>
        <v>-1.0575016736984253</v>
      </c>
      <c r="F3">
        <f>_xlfn.STDEV.P(C2:C42)</f>
        <v>2232.4433113290261</v>
      </c>
    </row>
    <row r="4" spans="1:6" x14ac:dyDescent="0.45">
      <c r="A4" s="1">
        <v>43525</v>
      </c>
      <c r="B4" s="2">
        <v>0.56311005353927612</v>
      </c>
      <c r="C4">
        <v>-2337.3384650659718</v>
      </c>
      <c r="D4">
        <f t="shared" si="0"/>
        <v>-4.3477838280034306E-3</v>
      </c>
      <c r="E4" s="2">
        <f t="shared" si="1"/>
        <v>-0.56311005353927612</v>
      </c>
    </row>
    <row r="5" spans="1:6" x14ac:dyDescent="0.45">
      <c r="A5" s="1">
        <v>43556</v>
      </c>
      <c r="B5" s="2">
        <v>0.80580174922943115</v>
      </c>
      <c r="C5">
        <v>-2049.946321642577</v>
      </c>
      <c r="D5">
        <f t="shared" si="0"/>
        <v>0.12438656833447254</v>
      </c>
      <c r="E5" s="2">
        <f t="shared" si="1"/>
        <v>-0.80580174922943115</v>
      </c>
    </row>
    <row r="6" spans="1:6" x14ac:dyDescent="0.45">
      <c r="A6" s="1">
        <v>43586</v>
      </c>
      <c r="B6" s="2">
        <v>0.97137451171875</v>
      </c>
      <c r="C6">
        <v>-1949.6975484211071</v>
      </c>
      <c r="D6">
        <f t="shared" si="0"/>
        <v>0.16929197431398182</v>
      </c>
      <c r="E6" s="2">
        <f t="shared" si="1"/>
        <v>-0.97137451171875</v>
      </c>
    </row>
    <row r="7" spans="1:6" x14ac:dyDescent="0.45">
      <c r="A7" s="1">
        <v>43617</v>
      </c>
      <c r="B7" s="2">
        <v>0.90171712636947632</v>
      </c>
      <c r="C7">
        <v>-2024.8756216289321</v>
      </c>
      <c r="D7">
        <f t="shared" si="0"/>
        <v>0.13561673032175262</v>
      </c>
      <c r="E7" s="2">
        <f t="shared" si="1"/>
        <v>-0.90171712636947632</v>
      </c>
    </row>
    <row r="8" spans="1:6" x14ac:dyDescent="0.45">
      <c r="A8" s="1">
        <v>43647</v>
      </c>
      <c r="B8" s="2">
        <v>0.80081409215927124</v>
      </c>
      <c r="C8">
        <v>-2015.3381864144001</v>
      </c>
      <c r="D8">
        <f t="shared" si="0"/>
        <v>0.13988892624544405</v>
      </c>
      <c r="E8" s="2">
        <f t="shared" si="1"/>
        <v>-0.80081409215927124</v>
      </c>
    </row>
    <row r="9" spans="1:6" x14ac:dyDescent="0.45">
      <c r="A9" s="1">
        <v>43678</v>
      </c>
      <c r="B9" s="2">
        <v>0.83620917797088623</v>
      </c>
      <c r="C9">
        <v>-1752.946058144893</v>
      </c>
      <c r="D9">
        <f t="shared" si="0"/>
        <v>0.25742477897592114</v>
      </c>
      <c r="E9" s="2">
        <f t="shared" si="1"/>
        <v>-0.83620917797088623</v>
      </c>
    </row>
    <row r="10" spans="1:6" x14ac:dyDescent="0.45">
      <c r="A10" s="1">
        <v>43709</v>
      </c>
      <c r="B10" s="2">
        <v>0.58018511533737183</v>
      </c>
      <c r="C10">
        <v>-1472.0207165264981</v>
      </c>
      <c r="D10">
        <f t="shared" si="0"/>
        <v>0.38326239384066479</v>
      </c>
      <c r="E10" s="2">
        <f t="shared" si="1"/>
        <v>-0.58018511533737183</v>
      </c>
    </row>
    <row r="11" spans="1:6" x14ac:dyDescent="0.45">
      <c r="A11" s="1">
        <v>43739</v>
      </c>
      <c r="B11" s="2">
        <v>1.072059154510498</v>
      </c>
      <c r="C11">
        <v>-1812.524009215022</v>
      </c>
      <c r="D11">
        <f t="shared" si="0"/>
        <v>0.23073744910385338</v>
      </c>
      <c r="E11" s="2">
        <f t="shared" si="1"/>
        <v>-1.072059154510498</v>
      </c>
    </row>
    <row r="12" spans="1:6" x14ac:dyDescent="0.45">
      <c r="A12" s="1">
        <v>43770</v>
      </c>
      <c r="B12" s="2">
        <v>0.47095069289207458</v>
      </c>
      <c r="C12">
        <v>-1577.93457616313</v>
      </c>
      <c r="D12">
        <f t="shared" si="0"/>
        <v>0.33581937071924944</v>
      </c>
      <c r="E12" s="2">
        <f t="shared" si="1"/>
        <v>-0.47095069289207458</v>
      </c>
    </row>
    <row r="13" spans="1:6" x14ac:dyDescent="0.45">
      <c r="A13" s="1">
        <v>43800</v>
      </c>
      <c r="B13" s="2">
        <v>0.58246773481369019</v>
      </c>
      <c r="C13">
        <v>-2062.6973633346729</v>
      </c>
      <c r="D13">
        <f t="shared" si="0"/>
        <v>0.11867487047079649</v>
      </c>
      <c r="E13" s="2">
        <f t="shared" si="1"/>
        <v>-0.58246773481369019</v>
      </c>
    </row>
    <row r="14" spans="1:6" x14ac:dyDescent="0.45">
      <c r="A14" s="1">
        <v>43831</v>
      </c>
      <c r="B14" s="2">
        <v>1.1780277490615845</v>
      </c>
      <c r="C14">
        <v>-1425.9348973168619</v>
      </c>
      <c r="D14">
        <f t="shared" si="0"/>
        <v>0.40390606213708402</v>
      </c>
      <c r="E14" s="2">
        <f t="shared" si="1"/>
        <v>-1.1780277490615845</v>
      </c>
    </row>
    <row r="15" spans="1:6" x14ac:dyDescent="0.45">
      <c r="A15" s="1">
        <v>43862</v>
      </c>
      <c r="B15" s="2">
        <v>0.65983057022094727</v>
      </c>
      <c r="C15">
        <v>-2021.6546764869929</v>
      </c>
      <c r="D15">
        <f t="shared" si="0"/>
        <v>0.13705951954089821</v>
      </c>
      <c r="E15" s="2">
        <f t="shared" si="1"/>
        <v>-0.65983057022094727</v>
      </c>
    </row>
    <row r="16" spans="1:6" x14ac:dyDescent="0.45">
      <c r="A16" s="1">
        <v>43891</v>
      </c>
      <c r="B16" s="2">
        <v>0.4275696873664856</v>
      </c>
      <c r="C16">
        <v>-1599.708110341759</v>
      </c>
      <c r="D16">
        <f t="shared" si="0"/>
        <v>0.32606614022594449</v>
      </c>
      <c r="E16" s="2">
        <f t="shared" si="1"/>
        <v>-0.4275696873664856</v>
      </c>
    </row>
    <row r="17" spans="1:5" x14ac:dyDescent="0.45">
      <c r="A17" s="1">
        <v>43922</v>
      </c>
      <c r="B17" s="2">
        <v>0.35281556844711304</v>
      </c>
      <c r="C17">
        <v>-1375.4128363811869</v>
      </c>
      <c r="D17">
        <f t="shared" si="0"/>
        <v>0.4265368992469401</v>
      </c>
      <c r="E17" s="2">
        <f t="shared" si="1"/>
        <v>-0.35281556844711304</v>
      </c>
    </row>
    <row r="18" spans="1:5" x14ac:dyDescent="0.45">
      <c r="A18" s="1">
        <v>43952</v>
      </c>
      <c r="B18" s="2">
        <v>0.29289832711219788</v>
      </c>
      <c r="C18">
        <v>-1498.6538958828719</v>
      </c>
      <c r="D18">
        <f t="shared" si="0"/>
        <v>0.37133233531634846</v>
      </c>
      <c r="E18" s="2">
        <f t="shared" si="1"/>
        <v>-0.29289832711219788</v>
      </c>
    </row>
    <row r="19" spans="1:5" x14ac:dyDescent="0.45">
      <c r="A19" s="1">
        <v>43983</v>
      </c>
      <c r="B19" s="2">
        <v>0.48911038041114807</v>
      </c>
      <c r="C19">
        <v>-1459.630516590147</v>
      </c>
      <c r="D19">
        <f t="shared" si="0"/>
        <v>0.388812456354447</v>
      </c>
      <c r="E19" s="2">
        <f t="shared" si="1"/>
        <v>-0.48911038041114807</v>
      </c>
    </row>
    <row r="20" spans="1:5" x14ac:dyDescent="0.45">
      <c r="A20" s="1">
        <v>44013</v>
      </c>
      <c r="B20" s="2">
        <v>0.40055808424949646</v>
      </c>
      <c r="C20">
        <v>-1673.1362985415319</v>
      </c>
      <c r="D20">
        <f t="shared" si="0"/>
        <v>0.29317473920933396</v>
      </c>
      <c r="E20" s="2">
        <f t="shared" si="1"/>
        <v>-0.40055808424949646</v>
      </c>
    </row>
    <row r="21" spans="1:5" x14ac:dyDescent="0.45">
      <c r="A21" s="1">
        <v>44044</v>
      </c>
      <c r="B21" s="2">
        <v>0.51204419136047363</v>
      </c>
      <c r="C21">
        <v>-1966.589655527976</v>
      </c>
      <c r="D21">
        <f t="shared" si="0"/>
        <v>0.16172532882688426</v>
      </c>
      <c r="E21" s="2">
        <f t="shared" si="1"/>
        <v>-0.51204419136047363</v>
      </c>
    </row>
    <row r="22" spans="1:5" x14ac:dyDescent="0.45">
      <c r="A22" s="1">
        <v>44075</v>
      </c>
      <c r="B22" s="2">
        <v>0.93206667900085449</v>
      </c>
      <c r="C22">
        <v>-2002.110285303911</v>
      </c>
      <c r="D22">
        <f t="shared" si="0"/>
        <v>0.14581422837668345</v>
      </c>
      <c r="E22" s="2">
        <f t="shared" si="1"/>
        <v>-0.93206667900085449</v>
      </c>
    </row>
    <row r="23" spans="1:5" x14ac:dyDescent="0.45">
      <c r="A23" s="1">
        <v>44105</v>
      </c>
      <c r="B23" s="2">
        <v>0.85206902027130127</v>
      </c>
      <c r="C23">
        <v>-1205.013151920037</v>
      </c>
      <c r="D23">
        <f t="shared" si="0"/>
        <v>0.50286568376586571</v>
      </c>
      <c r="E23" s="2">
        <f t="shared" si="1"/>
        <v>-0.85206902027130127</v>
      </c>
    </row>
    <row r="24" spans="1:5" x14ac:dyDescent="0.45">
      <c r="A24" s="1">
        <v>44136</v>
      </c>
      <c r="B24" s="2">
        <v>0.45427429676055908</v>
      </c>
      <c r="C24">
        <v>-734.07321830418834</v>
      </c>
      <c r="D24">
        <f t="shared" si="0"/>
        <v>0.71381837905983359</v>
      </c>
      <c r="E24" s="2">
        <f t="shared" si="1"/>
        <v>-0.45427429676055908</v>
      </c>
    </row>
    <row r="25" spans="1:5" x14ac:dyDescent="0.45">
      <c r="A25" s="1">
        <v>44166</v>
      </c>
      <c r="B25" s="2">
        <v>0.57601511478424072</v>
      </c>
      <c r="C25">
        <v>-1546.34917593557</v>
      </c>
      <c r="D25">
        <f t="shared" si="0"/>
        <v>0.34996772560345768</v>
      </c>
      <c r="E25" s="2">
        <f t="shared" si="1"/>
        <v>-0.57601511478424072</v>
      </c>
    </row>
    <row r="26" spans="1:5" x14ac:dyDescent="0.45">
      <c r="A26" s="1">
        <v>44197</v>
      </c>
      <c r="B26" s="2">
        <v>0.60290491580963135</v>
      </c>
      <c r="C26">
        <v>-1728.0187721307821</v>
      </c>
      <c r="D26">
        <f t="shared" si="0"/>
        <v>0.26859070013844827</v>
      </c>
      <c r="E26" s="2">
        <f t="shared" si="1"/>
        <v>-0.60290491580963135</v>
      </c>
    </row>
    <row r="27" spans="1:5" x14ac:dyDescent="0.45">
      <c r="A27" s="1">
        <v>44228</v>
      </c>
      <c r="B27" s="2">
        <v>0.52536773681640625</v>
      </c>
      <c r="C27">
        <v>-1778.152069783305</v>
      </c>
      <c r="D27">
        <f t="shared" si="0"/>
        <v>0.24613400553925713</v>
      </c>
      <c r="E27" s="2">
        <f t="shared" si="1"/>
        <v>-0.52536773681640625</v>
      </c>
    </row>
    <row r="28" spans="1:5" x14ac:dyDescent="0.45">
      <c r="A28" s="1">
        <v>44256</v>
      </c>
      <c r="B28" s="2">
        <v>0.65622735023498535</v>
      </c>
      <c r="C28">
        <v>-1405.3721084424319</v>
      </c>
      <c r="D28">
        <f t="shared" si="0"/>
        <v>0.41311695173507718</v>
      </c>
      <c r="E28" s="2">
        <f t="shared" si="1"/>
        <v>-0.65622735023498535</v>
      </c>
    </row>
    <row r="29" spans="1:5" x14ac:dyDescent="0.45">
      <c r="A29" s="1">
        <v>44287</v>
      </c>
      <c r="B29" s="2">
        <v>1.2389721870422363</v>
      </c>
      <c r="C29">
        <v>-2195.1426294744738</v>
      </c>
      <c r="D29">
        <f t="shared" si="0"/>
        <v>5.9347376926983678E-2</v>
      </c>
      <c r="E29" s="2">
        <f t="shared" si="1"/>
        <v>-1.2389721870422363</v>
      </c>
    </row>
    <row r="30" spans="1:5" x14ac:dyDescent="0.45">
      <c r="A30" s="1">
        <v>44317</v>
      </c>
      <c r="B30" s="2">
        <v>0.85020434856414795</v>
      </c>
      <c r="C30">
        <v>-1312.5479845229111</v>
      </c>
      <c r="D30">
        <f t="shared" si="0"/>
        <v>0.45469656249090884</v>
      </c>
      <c r="E30" s="2">
        <f t="shared" si="1"/>
        <v>-0.85020434856414795</v>
      </c>
    </row>
    <row r="31" spans="1:5" x14ac:dyDescent="0.45">
      <c r="A31" s="1">
        <v>44348</v>
      </c>
      <c r="B31" s="2">
        <v>0.84815192222595215</v>
      </c>
      <c r="C31">
        <v>-1463.4503094637221</v>
      </c>
      <c r="D31">
        <f t="shared" si="0"/>
        <v>0.38710141945859811</v>
      </c>
      <c r="E31" s="2">
        <f t="shared" si="1"/>
        <v>-0.84815192222595215</v>
      </c>
    </row>
    <row r="32" spans="1:5" x14ac:dyDescent="0.45">
      <c r="A32" s="1">
        <v>44378</v>
      </c>
      <c r="B32" s="2">
        <v>0.52462971210479736</v>
      </c>
      <c r="C32">
        <v>-1067.774229817217</v>
      </c>
      <c r="D32">
        <f t="shared" si="0"/>
        <v>0.56434044615126233</v>
      </c>
      <c r="E32" s="2">
        <f t="shared" si="1"/>
        <v>-0.52462971210479736</v>
      </c>
    </row>
    <row r="33" spans="1:5" x14ac:dyDescent="0.45">
      <c r="A33" s="1">
        <v>44409</v>
      </c>
      <c r="B33" s="2">
        <v>0.71007102727890015</v>
      </c>
      <c r="C33">
        <v>-960.22599353843282</v>
      </c>
      <c r="D33">
        <f t="shared" si="0"/>
        <v>0.61251557146486246</v>
      </c>
      <c r="E33" s="2">
        <f t="shared" si="1"/>
        <v>-0.71007102727890015</v>
      </c>
    </row>
    <row r="34" spans="1:5" x14ac:dyDescent="0.45">
      <c r="A34" s="1">
        <v>44440</v>
      </c>
      <c r="B34" s="2">
        <v>0.62150704860687256</v>
      </c>
      <c r="C34">
        <v>-1122.249358080971</v>
      </c>
      <c r="D34">
        <f t="shared" si="0"/>
        <v>0.53993887322562173</v>
      </c>
      <c r="E34" s="2">
        <f t="shared" si="1"/>
        <v>-0.62150704860687256</v>
      </c>
    </row>
    <row r="35" spans="1:5" x14ac:dyDescent="0.45">
      <c r="A35" s="1">
        <v>44470</v>
      </c>
      <c r="B35" s="2">
        <v>0.56676805019378662</v>
      </c>
      <c r="C35">
        <v>-1086.0242562908691</v>
      </c>
      <c r="D35">
        <f t="shared" si="0"/>
        <v>0.55616553466256369</v>
      </c>
      <c r="E35" s="2">
        <f t="shared" si="1"/>
        <v>-0.56676805019378662</v>
      </c>
    </row>
    <row r="36" spans="1:5" x14ac:dyDescent="0.45">
      <c r="A36" s="1">
        <v>44501</v>
      </c>
      <c r="B36" s="2">
        <v>1.2384202480316162</v>
      </c>
      <c r="C36">
        <v>-1314.634203054035</v>
      </c>
      <c r="D36">
        <f t="shared" si="0"/>
        <v>0.45376206237592859</v>
      </c>
      <c r="E36" s="2">
        <f t="shared" si="1"/>
        <v>-1.2384202480316162</v>
      </c>
    </row>
    <row r="37" spans="1:5" x14ac:dyDescent="0.45">
      <c r="A37" s="1">
        <v>44531</v>
      </c>
      <c r="B37" s="2">
        <v>1.7963160276412964</v>
      </c>
      <c r="C37">
        <v>-1571.46634503071</v>
      </c>
      <c r="D37">
        <f t="shared" si="0"/>
        <v>0.33871674826948578</v>
      </c>
      <c r="E37" s="2">
        <f t="shared" si="1"/>
        <v>-1.7963160276412964</v>
      </c>
    </row>
    <row r="38" spans="1:5" x14ac:dyDescent="0.45">
      <c r="A38" s="1">
        <v>44562</v>
      </c>
      <c r="B38" s="2">
        <v>2.8139395713806152</v>
      </c>
      <c r="C38">
        <v>-2274.018275193333</v>
      </c>
      <c r="D38">
        <f t="shared" si="0"/>
        <v>2.4015843392139875E-2</v>
      </c>
      <c r="E38" s="2">
        <f t="shared" si="1"/>
        <v>-2.8139395713806152</v>
      </c>
    </row>
    <row r="39" spans="1:5" x14ac:dyDescent="0.45">
      <c r="A39" s="1">
        <v>44593</v>
      </c>
      <c r="B39" s="2">
        <v>5.4910736083984375</v>
      </c>
      <c r="C39">
        <v>-7103.6987906499262</v>
      </c>
      <c r="D39">
        <f t="shared" si="0"/>
        <v>-2.1393898256106585</v>
      </c>
      <c r="E39" s="2">
        <f t="shared" si="1"/>
        <v>-5.4910736083984375</v>
      </c>
    </row>
    <row r="40" spans="1:5" x14ac:dyDescent="0.45">
      <c r="A40" s="1">
        <v>44621</v>
      </c>
      <c r="B40" s="2">
        <v>9.0306835174560547</v>
      </c>
      <c r="C40">
        <v>-12705.343999871789</v>
      </c>
      <c r="D40">
        <f t="shared" si="0"/>
        <v>-4.6485891323948794</v>
      </c>
      <c r="E40" s="2">
        <f t="shared" si="1"/>
        <v>-9.0306835174560547</v>
      </c>
    </row>
    <row r="41" spans="1:5" x14ac:dyDescent="0.45">
      <c r="A41" s="1">
        <v>44652</v>
      </c>
      <c r="B41" s="2">
        <v>4.9046320915222168</v>
      </c>
      <c r="C41">
        <v>-8793.0280748734949</v>
      </c>
      <c r="D41">
        <f t="shared" si="0"/>
        <v>-2.8961074881155442</v>
      </c>
      <c r="E41" s="2">
        <f t="shared" si="1"/>
        <v>-4.9046320915222168</v>
      </c>
    </row>
    <row r="42" spans="1:5" x14ac:dyDescent="0.45">
      <c r="A42" s="1">
        <v>44682</v>
      </c>
      <c r="B42" s="2">
        <v>3.046875</v>
      </c>
      <c r="C42">
        <v>-5398.456393085381</v>
      </c>
      <c r="D42">
        <f t="shared" si="0"/>
        <v>-1.3755440477981078</v>
      </c>
      <c r="E42" s="2">
        <f t="shared" si="1"/>
        <v>-3.046875</v>
      </c>
    </row>
    <row r="43" spans="1:5" x14ac:dyDescent="0.45">
      <c r="C43">
        <f>CORREL(B2:B42,C2:C42)</f>
        <v>-0.95719667507058204</v>
      </c>
      <c r="D43">
        <f>CORREL(B2:B42,D2:D42)</f>
        <v>-0.95719667507058204</v>
      </c>
      <c r="E43" s="2">
        <f t="shared" si="1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129F-0102-43F8-BF06-8AB3E5DF5E7E}">
  <dimension ref="A1:B42"/>
  <sheetViews>
    <sheetView workbookViewId="0">
      <selection activeCell="C17" sqref="C1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43466</v>
      </c>
      <c r="B2" s="2">
        <v>0.99872505664825439</v>
      </c>
    </row>
    <row r="3" spans="1:2" x14ac:dyDescent="0.45">
      <c r="A3" s="1">
        <v>43497</v>
      </c>
      <c r="B3" s="2">
        <v>1.0575016736984253</v>
      </c>
    </row>
    <row r="4" spans="1:2" x14ac:dyDescent="0.45">
      <c r="A4" s="1">
        <v>43525</v>
      </c>
      <c r="B4" s="2">
        <v>0.56311005353927612</v>
      </c>
    </row>
    <row r="5" spans="1:2" x14ac:dyDescent="0.45">
      <c r="A5" s="1">
        <v>43556</v>
      </c>
      <c r="B5" s="2">
        <v>0.80580174922943115</v>
      </c>
    </row>
    <row r="6" spans="1:2" x14ac:dyDescent="0.45">
      <c r="A6" s="1">
        <v>43586</v>
      </c>
      <c r="B6" s="2">
        <v>0.97137451171875</v>
      </c>
    </row>
    <row r="7" spans="1:2" x14ac:dyDescent="0.45">
      <c r="A7" s="1">
        <v>43617</v>
      </c>
      <c r="B7" s="2">
        <v>0.90171712636947632</v>
      </c>
    </row>
    <row r="8" spans="1:2" x14ac:dyDescent="0.45">
      <c r="A8" s="1">
        <v>43647</v>
      </c>
      <c r="B8" s="2">
        <v>0.80081409215927124</v>
      </c>
    </row>
    <row r="9" spans="1:2" x14ac:dyDescent="0.45">
      <c r="A9" s="1">
        <v>43678</v>
      </c>
      <c r="B9" s="2">
        <v>0.83620917797088623</v>
      </c>
    </row>
    <row r="10" spans="1:2" x14ac:dyDescent="0.45">
      <c r="A10" s="1">
        <v>43709</v>
      </c>
      <c r="B10" s="2">
        <v>0.58018511533737183</v>
      </c>
    </row>
    <row r="11" spans="1:2" x14ac:dyDescent="0.45">
      <c r="A11" s="1">
        <v>43739</v>
      </c>
      <c r="B11" s="2">
        <v>1.072059154510498</v>
      </c>
    </row>
    <row r="12" spans="1:2" x14ac:dyDescent="0.45">
      <c r="A12" s="1">
        <v>43770</v>
      </c>
      <c r="B12" s="2">
        <v>0.47095069289207458</v>
      </c>
    </row>
    <row r="13" spans="1:2" x14ac:dyDescent="0.45">
      <c r="A13" s="1">
        <v>43800</v>
      </c>
      <c r="B13" s="2">
        <v>0.58246773481369019</v>
      </c>
    </row>
    <row r="14" spans="1:2" x14ac:dyDescent="0.45">
      <c r="A14" s="1">
        <v>43831</v>
      </c>
      <c r="B14" s="2">
        <v>1.1780277490615845</v>
      </c>
    </row>
    <row r="15" spans="1:2" x14ac:dyDescent="0.45">
      <c r="A15" s="1">
        <v>43862</v>
      </c>
      <c r="B15" s="2">
        <v>0.65983057022094727</v>
      </c>
    </row>
    <row r="16" spans="1:2" x14ac:dyDescent="0.45">
      <c r="A16" s="1">
        <v>43891</v>
      </c>
      <c r="B16" s="2">
        <v>0.4275696873664856</v>
      </c>
    </row>
    <row r="17" spans="1:2" x14ac:dyDescent="0.45">
      <c r="A17" s="1">
        <v>43922</v>
      </c>
      <c r="B17" s="2">
        <v>0.35281556844711304</v>
      </c>
    </row>
    <row r="18" spans="1:2" x14ac:dyDescent="0.45">
      <c r="A18" s="1">
        <v>43952</v>
      </c>
      <c r="B18" s="2">
        <v>0.29289832711219788</v>
      </c>
    </row>
    <row r="19" spans="1:2" x14ac:dyDescent="0.45">
      <c r="A19" s="1">
        <v>43983</v>
      </c>
      <c r="B19" s="2">
        <v>0.48911038041114807</v>
      </c>
    </row>
    <row r="20" spans="1:2" x14ac:dyDescent="0.45">
      <c r="A20" s="1">
        <v>44013</v>
      </c>
      <c r="B20" s="2">
        <v>0.40055808424949646</v>
      </c>
    </row>
    <row r="21" spans="1:2" x14ac:dyDescent="0.45">
      <c r="A21" s="1">
        <v>44044</v>
      </c>
      <c r="B21" s="2">
        <v>0.51204419136047363</v>
      </c>
    </row>
    <row r="22" spans="1:2" x14ac:dyDescent="0.45">
      <c r="A22" s="1">
        <v>44075</v>
      </c>
      <c r="B22" s="2">
        <v>0.93206667900085449</v>
      </c>
    </row>
    <row r="23" spans="1:2" x14ac:dyDescent="0.45">
      <c r="A23" s="1">
        <v>44105</v>
      </c>
      <c r="B23" s="2">
        <v>0.85206902027130127</v>
      </c>
    </row>
    <row r="24" spans="1:2" x14ac:dyDescent="0.45">
      <c r="A24" s="1">
        <v>44136</v>
      </c>
      <c r="B24" s="2">
        <v>0.45427429676055908</v>
      </c>
    </row>
    <row r="25" spans="1:2" x14ac:dyDescent="0.45">
      <c r="A25" s="1">
        <v>44166</v>
      </c>
      <c r="B25" s="2">
        <v>0.57601511478424072</v>
      </c>
    </row>
    <row r="26" spans="1:2" x14ac:dyDescent="0.45">
      <c r="A26" s="1">
        <v>44197</v>
      </c>
      <c r="B26" s="2">
        <v>0.60290491580963135</v>
      </c>
    </row>
    <row r="27" spans="1:2" x14ac:dyDescent="0.45">
      <c r="A27" s="1">
        <v>44228</v>
      </c>
      <c r="B27" s="2">
        <v>0.52536773681640625</v>
      </c>
    </row>
    <row r="28" spans="1:2" x14ac:dyDescent="0.45">
      <c r="A28" s="1">
        <v>44256</v>
      </c>
      <c r="B28" s="2">
        <v>0.65622735023498535</v>
      </c>
    </row>
    <row r="29" spans="1:2" x14ac:dyDescent="0.45">
      <c r="A29" s="1">
        <v>44287</v>
      </c>
      <c r="B29" s="2">
        <v>1.2389721870422363</v>
      </c>
    </row>
    <row r="30" spans="1:2" x14ac:dyDescent="0.45">
      <c r="A30" s="1">
        <v>44317</v>
      </c>
      <c r="B30" s="2">
        <v>0.85020434856414795</v>
      </c>
    </row>
    <row r="31" spans="1:2" x14ac:dyDescent="0.45">
      <c r="A31" s="1">
        <v>44348</v>
      </c>
      <c r="B31" s="2">
        <v>0.84815192222595215</v>
      </c>
    </row>
    <row r="32" spans="1:2" x14ac:dyDescent="0.45">
      <c r="A32" s="1">
        <v>44378</v>
      </c>
      <c r="B32" s="2">
        <v>0.52462971210479736</v>
      </c>
    </row>
    <row r="33" spans="1:2" x14ac:dyDescent="0.45">
      <c r="A33" s="1">
        <v>44409</v>
      </c>
      <c r="B33" s="2">
        <v>0.71007102727890015</v>
      </c>
    </row>
    <row r="34" spans="1:2" x14ac:dyDescent="0.45">
      <c r="A34" s="1">
        <v>44440</v>
      </c>
      <c r="B34" s="2">
        <v>0.62150704860687256</v>
      </c>
    </row>
    <row r="35" spans="1:2" x14ac:dyDescent="0.45">
      <c r="A35" s="1">
        <v>44470</v>
      </c>
      <c r="B35" s="2">
        <v>0.56676805019378662</v>
      </c>
    </row>
    <row r="36" spans="1:2" x14ac:dyDescent="0.45">
      <c r="A36" s="1">
        <v>44501</v>
      </c>
      <c r="B36" s="2">
        <v>1.2384202480316162</v>
      </c>
    </row>
    <row r="37" spans="1:2" x14ac:dyDescent="0.45">
      <c r="A37" s="1">
        <v>44531</v>
      </c>
      <c r="B37" s="2">
        <v>1.7963160276412964</v>
      </c>
    </row>
    <row r="38" spans="1:2" x14ac:dyDescent="0.45">
      <c r="A38" s="1">
        <v>44562</v>
      </c>
      <c r="B38" s="2">
        <v>2.8139395713806152</v>
      </c>
    </row>
    <row r="39" spans="1:2" x14ac:dyDescent="0.45">
      <c r="A39" s="1">
        <v>44593</v>
      </c>
      <c r="B39" s="2">
        <v>5.4910736083984375</v>
      </c>
    </row>
    <row r="40" spans="1:2" x14ac:dyDescent="0.45">
      <c r="A40" s="1">
        <v>44621</v>
      </c>
      <c r="B40" s="2">
        <v>9.0306835174560547</v>
      </c>
    </row>
    <row r="41" spans="1:2" x14ac:dyDescent="0.45">
      <c r="A41" s="1">
        <v>44652</v>
      </c>
      <c r="B41" s="2">
        <v>4.9046320915222168</v>
      </c>
    </row>
    <row r="42" spans="1:2" x14ac:dyDescent="0.45">
      <c r="A42" s="1">
        <v>44682</v>
      </c>
      <c r="B42" s="2">
        <v>3.046875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537F-0F8C-4A64-8A85-440DDA9C82A7}">
  <dimension ref="A1:K15"/>
  <sheetViews>
    <sheetView workbookViewId="0">
      <selection activeCell="M10" sqref="M10"/>
    </sheetView>
  </sheetViews>
  <sheetFormatPr defaultRowHeight="14.25" x14ac:dyDescent="0.45"/>
  <cols>
    <col min="1" max="1" width="14.6640625" customWidth="1"/>
    <col min="2" max="2" width="15.86328125" customWidth="1"/>
    <col min="4" max="4" width="13.86328125" customWidth="1"/>
    <col min="5" max="5" width="13.73046875" customWidth="1"/>
    <col min="6" max="6" width="14.796875" customWidth="1"/>
    <col min="8" max="8" width="11.265625" customWidth="1"/>
    <col min="9" max="9" width="12.46484375" customWidth="1"/>
    <col min="11" max="11" width="13.46484375" customWidth="1"/>
  </cols>
  <sheetData>
    <row r="1" spans="1:11" x14ac:dyDescent="0.45">
      <c r="A1" s="4"/>
      <c r="B1" s="4" t="s">
        <v>4</v>
      </c>
      <c r="C1" s="4" t="s">
        <v>8</v>
      </c>
      <c r="D1" s="4" t="s">
        <v>10</v>
      </c>
      <c r="E1" s="4" t="s">
        <v>9</v>
      </c>
      <c r="F1" s="4" t="s">
        <v>12</v>
      </c>
      <c r="G1" s="4" t="s">
        <v>13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 x14ac:dyDescent="0.45">
      <c r="A2" s="4" t="s">
        <v>5</v>
      </c>
      <c r="B2" s="8">
        <v>-0.95720000000000005</v>
      </c>
      <c r="C2" s="5" t="s">
        <v>20</v>
      </c>
      <c r="D2" s="9" t="s">
        <v>11</v>
      </c>
      <c r="E2" s="5">
        <v>4.6050069369983366E-3</v>
      </c>
      <c r="F2" s="10">
        <v>-0.81130000000000002</v>
      </c>
      <c r="G2" s="7" t="s">
        <v>23</v>
      </c>
      <c r="H2" s="10">
        <v>-0.38229999999999997</v>
      </c>
      <c r="I2" s="10">
        <v>-0.70039700000000005</v>
      </c>
      <c r="J2" s="5">
        <v>-0.218607440458818</v>
      </c>
      <c r="K2" s="5">
        <v>-0.101564</v>
      </c>
    </row>
    <row r="3" spans="1:11" x14ac:dyDescent="0.45">
      <c r="A3" s="4" t="s">
        <v>6</v>
      </c>
      <c r="B3" s="6" t="s">
        <v>7</v>
      </c>
      <c r="C3" s="6" t="s">
        <v>21</v>
      </c>
      <c r="D3" s="6" t="s">
        <v>22</v>
      </c>
      <c r="E3" s="6">
        <v>0.97719999999999996</v>
      </c>
      <c r="F3" s="6" t="s">
        <v>19</v>
      </c>
      <c r="G3" s="6" t="s">
        <v>14</v>
      </c>
      <c r="H3" s="5">
        <v>1.3610000000000001E-2</v>
      </c>
      <c r="I3" s="6" t="s">
        <v>24</v>
      </c>
      <c r="J3" s="5">
        <v>0.16970299999999999</v>
      </c>
      <c r="K3" s="5">
        <v>0.52747999999999995</v>
      </c>
    </row>
    <row r="5" spans="1:11" x14ac:dyDescent="0.45">
      <c r="A5" s="4"/>
      <c r="B5" s="4" t="s">
        <v>5</v>
      </c>
      <c r="C5" s="4" t="s">
        <v>6</v>
      </c>
    </row>
    <row r="6" spans="1:11" x14ac:dyDescent="0.45">
      <c r="A6" s="4" t="s">
        <v>4</v>
      </c>
      <c r="B6" s="11">
        <v>-0.95720000000000005</v>
      </c>
      <c r="C6" s="12">
        <v>0</v>
      </c>
    </row>
    <row r="7" spans="1:11" x14ac:dyDescent="0.45">
      <c r="A7" s="4" t="s">
        <v>26</v>
      </c>
      <c r="B7" s="11">
        <v>-0.81130000000000002</v>
      </c>
      <c r="C7" s="12">
        <v>0</v>
      </c>
    </row>
    <row r="8" spans="1:11" x14ac:dyDescent="0.45">
      <c r="A8" s="4" t="s">
        <v>16</v>
      </c>
      <c r="B8" s="11">
        <v>-0.70030000000000003</v>
      </c>
      <c r="C8" s="12">
        <v>0</v>
      </c>
    </row>
    <row r="9" spans="1:11" x14ac:dyDescent="0.45">
      <c r="A9" s="4" t="s">
        <v>10</v>
      </c>
      <c r="B9" s="11">
        <v>-0.69940000000000002</v>
      </c>
      <c r="C9" s="12">
        <v>0</v>
      </c>
    </row>
    <row r="10" spans="1:11" x14ac:dyDescent="0.45">
      <c r="A10" s="4" t="s">
        <v>27</v>
      </c>
      <c r="B10" s="11">
        <v>-0.38229999999999997</v>
      </c>
      <c r="C10" s="12">
        <v>1.3599999999999999E-2</v>
      </c>
    </row>
    <row r="11" spans="1:11" x14ac:dyDescent="0.45">
      <c r="A11" s="4" t="s">
        <v>17</v>
      </c>
      <c r="B11" s="4">
        <v>-0.21859999999999999</v>
      </c>
      <c r="C11" s="4">
        <v>0.16969999999999999</v>
      </c>
    </row>
    <row r="12" spans="1:11" x14ac:dyDescent="0.45">
      <c r="A12" s="4" t="s">
        <v>13</v>
      </c>
      <c r="B12" s="13">
        <v>-0.19400000000000001</v>
      </c>
      <c r="C12" s="13">
        <v>0.224</v>
      </c>
    </row>
    <row r="13" spans="1:11" x14ac:dyDescent="0.45">
      <c r="A13" s="4" t="s">
        <v>18</v>
      </c>
      <c r="B13" s="4">
        <v>-0.1016</v>
      </c>
      <c r="C13" s="4">
        <v>0.52749999999999997</v>
      </c>
    </row>
    <row r="14" spans="1:11" x14ac:dyDescent="0.45">
      <c r="A14" s="4" t="s">
        <v>8</v>
      </c>
      <c r="B14" s="6" t="s">
        <v>20</v>
      </c>
      <c r="C14" s="4">
        <v>0.97670000000000001</v>
      </c>
    </row>
    <row r="15" spans="1:11" x14ac:dyDescent="0.45">
      <c r="A15" s="4" t="s">
        <v>9</v>
      </c>
      <c r="B15" s="6" t="s">
        <v>20</v>
      </c>
      <c r="C15" s="4">
        <v>0.97719999999999996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1A29-EADD-432E-BCD5-4A885B92D0F7}">
  <dimension ref="A1:K42"/>
  <sheetViews>
    <sheetView workbookViewId="0">
      <selection sqref="A1:A42"/>
    </sheetView>
  </sheetViews>
  <sheetFormatPr defaultRowHeight="14.25" x14ac:dyDescent="0.45"/>
  <sheetData>
    <row r="1" spans="1:11" x14ac:dyDescent="0.45">
      <c r="A1" t="s">
        <v>0</v>
      </c>
      <c r="B1" t="s">
        <v>28</v>
      </c>
      <c r="C1" t="s">
        <v>29</v>
      </c>
      <c r="D1" t="s">
        <v>30</v>
      </c>
      <c r="E1" t="s">
        <v>35</v>
      </c>
      <c r="F1" t="s">
        <v>31</v>
      </c>
      <c r="G1" t="s">
        <v>32</v>
      </c>
      <c r="H1" t="s">
        <v>34</v>
      </c>
      <c r="I1" t="s">
        <v>33</v>
      </c>
      <c r="J1" t="s">
        <v>36</v>
      </c>
      <c r="K1" t="s">
        <v>37</v>
      </c>
    </row>
    <row r="2" spans="1:11" x14ac:dyDescent="0.45">
      <c r="A2" s="1">
        <v>43466</v>
      </c>
      <c r="B2">
        <v>-2357.0626331178369</v>
      </c>
      <c r="C2">
        <v>-1502.7378168672819</v>
      </c>
      <c r="D2">
        <v>-788.83732378250681</v>
      </c>
      <c r="E2">
        <v>-132.8435215433027</v>
      </c>
      <c r="F2">
        <v>-570.98658415937075</v>
      </c>
      <c r="G2">
        <v>-421.17601811574769</v>
      </c>
      <c r="H2">
        <v>-56.673358659338682</v>
      </c>
      <c r="I2">
        <v>-1167.8015137693089</v>
      </c>
      <c r="J2">
        <v>-655.07634450159105</v>
      </c>
      <c r="K2">
        <v>-135.14075281064549</v>
      </c>
    </row>
    <row r="3" spans="1:11" x14ac:dyDescent="0.45">
      <c r="A3" s="1">
        <v>43497</v>
      </c>
      <c r="B3">
        <v>-2232.6716382298209</v>
      </c>
      <c r="C3">
        <v>-919.17908969386269</v>
      </c>
      <c r="D3">
        <v>-576.57627690365734</v>
      </c>
      <c r="E3">
        <v>-142.17149954580421</v>
      </c>
      <c r="F3">
        <v>-477.85771101338679</v>
      </c>
      <c r="G3">
        <v>-2034.932806555604</v>
      </c>
      <c r="H3">
        <v>-37.931447012143579</v>
      </c>
      <c r="I3">
        <v>-930.5809165461086</v>
      </c>
      <c r="J3">
        <v>-404.22864551941791</v>
      </c>
      <c r="K3">
        <v>-92.552235048410211</v>
      </c>
    </row>
    <row r="4" spans="1:11" x14ac:dyDescent="0.45">
      <c r="A4" s="1">
        <v>43525</v>
      </c>
      <c r="B4">
        <v>-2337.3384650659718</v>
      </c>
      <c r="C4">
        <v>-1078.2290008759339</v>
      </c>
      <c r="D4">
        <v>-812.2472723587066</v>
      </c>
      <c r="E4">
        <v>-254.9150479081421</v>
      </c>
      <c r="F4">
        <v>-478.23128050725052</v>
      </c>
      <c r="G4">
        <v>-1289.8752853770029</v>
      </c>
      <c r="H4">
        <v>-18.84889604499206</v>
      </c>
      <c r="I4">
        <v>-676.82930801072041</v>
      </c>
      <c r="J4">
        <v>-396.86818189819888</v>
      </c>
      <c r="K4">
        <v>-116.5975293852247</v>
      </c>
    </row>
    <row r="5" spans="1:11" x14ac:dyDescent="0.45">
      <c r="A5" s="1">
        <v>43556</v>
      </c>
      <c r="B5">
        <v>-2049.946321642577</v>
      </c>
      <c r="C5">
        <v>-688.01241841491526</v>
      </c>
      <c r="D5">
        <v>-583.61730962385798</v>
      </c>
      <c r="E5">
        <v>-221.84674337137091</v>
      </c>
      <c r="F5">
        <v>-657.39322861271103</v>
      </c>
      <c r="G5">
        <v>-931.22523743532031</v>
      </c>
      <c r="H5">
        <v>-43.879633411092193</v>
      </c>
      <c r="I5">
        <v>-831.6973785248224</v>
      </c>
      <c r="J5">
        <v>-288.92187474962049</v>
      </c>
      <c r="K5">
        <v>-135.31070710020941</v>
      </c>
    </row>
    <row r="6" spans="1:11" x14ac:dyDescent="0.45">
      <c r="A6" s="1">
        <v>43586</v>
      </c>
      <c r="B6">
        <v>-1949.6975484211071</v>
      </c>
      <c r="C6">
        <v>-708.02479225691707</v>
      </c>
      <c r="D6">
        <v>-569.17892337817148</v>
      </c>
      <c r="E6">
        <v>-289.94624379871141</v>
      </c>
      <c r="F6">
        <v>-765.20926587394467</v>
      </c>
      <c r="G6">
        <v>-669.6095330450803</v>
      </c>
      <c r="H6">
        <v>-10.676944075565251</v>
      </c>
      <c r="I6">
        <v>-659.81833195960394</v>
      </c>
      <c r="J6">
        <v>-380.56413338329452</v>
      </c>
      <c r="K6">
        <v>-92.840807169028992</v>
      </c>
    </row>
    <row r="7" spans="1:11" x14ac:dyDescent="0.45">
      <c r="A7" s="1">
        <v>43617</v>
      </c>
      <c r="B7">
        <v>-2024.8756216289321</v>
      </c>
      <c r="C7">
        <v>-388.54424622802281</v>
      </c>
      <c r="D7">
        <v>-532.2285800100575</v>
      </c>
      <c r="E7">
        <v>-207.52637107177591</v>
      </c>
      <c r="F7">
        <v>-878.86532640097846</v>
      </c>
      <c r="G7">
        <v>-614.06069592216443</v>
      </c>
      <c r="H7">
        <v>-155.34540738452341</v>
      </c>
      <c r="I7">
        <v>-1106.385115318139</v>
      </c>
      <c r="J7">
        <v>-244.94524638917861</v>
      </c>
      <c r="K7">
        <v>-76.358707578362626</v>
      </c>
    </row>
    <row r="8" spans="1:11" x14ac:dyDescent="0.45">
      <c r="A8" s="1">
        <v>43647</v>
      </c>
      <c r="B8">
        <v>-2015.3381864144001</v>
      </c>
      <c r="C8">
        <v>17.726654395563401</v>
      </c>
      <c r="D8">
        <v>-678.50868359336448</v>
      </c>
      <c r="E8">
        <v>-348.18582669075988</v>
      </c>
      <c r="F8">
        <v>-323.26949052526368</v>
      </c>
      <c r="G8">
        <v>-656.68498903887644</v>
      </c>
      <c r="H8">
        <v>-76.986016783393069</v>
      </c>
      <c r="I8">
        <v>-886.25461487309894</v>
      </c>
      <c r="J8">
        <v>-362.17199161468909</v>
      </c>
      <c r="K8">
        <v>-91.128386436876028</v>
      </c>
    </row>
    <row r="9" spans="1:11" x14ac:dyDescent="0.45">
      <c r="A9" s="1">
        <v>43678</v>
      </c>
      <c r="B9">
        <v>-1752.946058144893</v>
      </c>
      <c r="C9">
        <v>-1689.418187264024</v>
      </c>
      <c r="D9">
        <v>-481.91138083505189</v>
      </c>
      <c r="E9">
        <v>-333.44787816709828</v>
      </c>
      <c r="F9">
        <v>-312.14173934549763</v>
      </c>
      <c r="G9">
        <v>-1163.1512180801731</v>
      </c>
      <c r="H9">
        <v>-93.354391415711632</v>
      </c>
      <c r="I9">
        <v>-1156.011865687821</v>
      </c>
      <c r="J9">
        <v>-696.62574239741275</v>
      </c>
      <c r="K9">
        <v>-77.701543202591338</v>
      </c>
    </row>
    <row r="10" spans="1:11" x14ac:dyDescent="0.45">
      <c r="A10" s="1">
        <v>43709</v>
      </c>
      <c r="B10">
        <v>-1472.0207165264981</v>
      </c>
      <c r="C10">
        <v>-1356.266057490561</v>
      </c>
      <c r="D10">
        <v>-512.72181281465896</v>
      </c>
      <c r="E10">
        <v>-218.54896073489499</v>
      </c>
      <c r="F10">
        <v>-1617.308967444435</v>
      </c>
      <c r="G10">
        <v>-706.92756628808354</v>
      </c>
      <c r="H10">
        <v>-39.85961601323325</v>
      </c>
      <c r="I10">
        <v>-525.73871549655553</v>
      </c>
      <c r="J10">
        <v>-311.85455909088961</v>
      </c>
      <c r="K10">
        <v>-319.47959080938278</v>
      </c>
    </row>
    <row r="11" spans="1:11" x14ac:dyDescent="0.45">
      <c r="A11" s="1">
        <v>43739</v>
      </c>
      <c r="B11">
        <v>-1812.524009215022</v>
      </c>
      <c r="C11">
        <v>-1418.4384148931381</v>
      </c>
      <c r="D11">
        <v>-3166.050285839407</v>
      </c>
      <c r="E11">
        <v>-207.40876441712919</v>
      </c>
      <c r="F11">
        <v>-327.6218532035889</v>
      </c>
      <c r="G11">
        <v>-492.28135148790972</v>
      </c>
      <c r="H11">
        <v>-139.90680942930589</v>
      </c>
      <c r="I11">
        <v>-541.9225704551925</v>
      </c>
      <c r="J11">
        <v>-193.3523064233743</v>
      </c>
      <c r="K11">
        <v>-96.006076708952151</v>
      </c>
    </row>
    <row r="12" spans="1:11" x14ac:dyDescent="0.45">
      <c r="A12" s="1">
        <v>43770</v>
      </c>
      <c r="B12">
        <v>-1577.93457616313</v>
      </c>
      <c r="C12">
        <v>-1522.644188382048</v>
      </c>
      <c r="D12">
        <v>-941.58692264445904</v>
      </c>
      <c r="E12">
        <v>-197.63039278320599</v>
      </c>
      <c r="F12">
        <v>-237.25031747447389</v>
      </c>
      <c r="G12">
        <v>-415.76170383568927</v>
      </c>
      <c r="H12">
        <v>-26.903127251063651</v>
      </c>
      <c r="I12">
        <v>-1086.8085188532029</v>
      </c>
      <c r="J12">
        <v>-289.12606188960223</v>
      </c>
      <c r="K12">
        <v>-85.831211729489951</v>
      </c>
    </row>
    <row r="13" spans="1:11" x14ac:dyDescent="0.45">
      <c r="A13" s="1">
        <v>43800</v>
      </c>
      <c r="B13">
        <v>-2062.6973633346729</v>
      </c>
      <c r="C13">
        <v>-929.74069223172023</v>
      </c>
      <c r="D13">
        <v>-828.81028248989128</v>
      </c>
      <c r="E13">
        <v>-169.7112723432115</v>
      </c>
      <c r="F13">
        <v>-451.84935298230118</v>
      </c>
      <c r="G13">
        <v>-1135.8406759168181</v>
      </c>
      <c r="H13">
        <v>-61.989998736896027</v>
      </c>
      <c r="I13">
        <v>-551.53934832936</v>
      </c>
      <c r="J13">
        <v>-218.52996171570251</v>
      </c>
      <c r="K13">
        <v>-74.277034070669572</v>
      </c>
    </row>
    <row r="14" spans="1:11" x14ac:dyDescent="0.45">
      <c r="A14" s="1">
        <v>43831</v>
      </c>
      <c r="B14">
        <v>-1425.9348973168619</v>
      </c>
      <c r="C14">
        <v>-2788.5626233696921</v>
      </c>
      <c r="D14">
        <v>-760.04673359409423</v>
      </c>
      <c r="E14">
        <v>-209.60488894380541</v>
      </c>
      <c r="F14">
        <v>-521.38145415176189</v>
      </c>
      <c r="G14">
        <v>-610.0558756244659</v>
      </c>
      <c r="H14">
        <v>-114.8682505923139</v>
      </c>
      <c r="I14">
        <v>-547.92337083036739</v>
      </c>
      <c r="J14">
        <v>-242.5086855484326</v>
      </c>
      <c r="K14">
        <v>-83.606812724698145</v>
      </c>
    </row>
    <row r="15" spans="1:11" x14ac:dyDescent="0.45">
      <c r="A15" s="1">
        <v>43862</v>
      </c>
      <c r="B15">
        <v>-2021.6546764869929</v>
      </c>
      <c r="C15">
        <v>-5495.2690952960402</v>
      </c>
      <c r="D15">
        <v>-1631.20952005548</v>
      </c>
      <c r="E15">
        <v>-575.47970544317354</v>
      </c>
      <c r="F15">
        <v>-264.27936905042873</v>
      </c>
      <c r="G15">
        <v>-583.45850680521198</v>
      </c>
      <c r="H15">
        <v>-203.79241911881141</v>
      </c>
      <c r="I15">
        <v>-545.42901966854708</v>
      </c>
      <c r="J15">
        <v>-208.48707619986089</v>
      </c>
      <c r="K15">
        <v>-150.4414313432996</v>
      </c>
    </row>
    <row r="16" spans="1:11" x14ac:dyDescent="0.45">
      <c r="A16" s="1">
        <v>43891</v>
      </c>
      <c r="B16">
        <v>-1599.708110341759</v>
      </c>
      <c r="C16">
        <v>-3806.7807703298322</v>
      </c>
      <c r="D16">
        <v>-1352.742922033882</v>
      </c>
      <c r="E16">
        <v>-711.86456532978548</v>
      </c>
      <c r="F16">
        <v>-542.66653071848987</v>
      </c>
      <c r="G16">
        <v>-736.93088483256599</v>
      </c>
      <c r="H16">
        <v>-164.6777778151048</v>
      </c>
      <c r="I16">
        <v>-519.77849848279095</v>
      </c>
      <c r="J16">
        <v>-396.79433586187469</v>
      </c>
      <c r="K16">
        <v>-327.53660705274802</v>
      </c>
    </row>
    <row r="17" spans="1:11" x14ac:dyDescent="0.45">
      <c r="A17" s="1">
        <v>43922</v>
      </c>
      <c r="B17">
        <v>-1375.4128363811869</v>
      </c>
      <c r="C17">
        <v>-3048.0940559752462</v>
      </c>
      <c r="D17">
        <v>-532.09322023551351</v>
      </c>
      <c r="E17">
        <v>-473.51300526925672</v>
      </c>
      <c r="F17">
        <v>-460.79558330974339</v>
      </c>
      <c r="G17">
        <v>-745.39340940278589</v>
      </c>
      <c r="H17">
        <v>-189.93994660887299</v>
      </c>
      <c r="I17">
        <v>-447.0980617223538</v>
      </c>
      <c r="J17">
        <v>-414.80523920242229</v>
      </c>
      <c r="K17">
        <v>-296.87451096164062</v>
      </c>
    </row>
    <row r="18" spans="1:11" x14ac:dyDescent="0.45">
      <c r="A18" s="1">
        <v>43952</v>
      </c>
      <c r="B18">
        <v>-1498.6538958828719</v>
      </c>
      <c r="C18">
        <v>-2654.501064715495</v>
      </c>
      <c r="D18">
        <v>-406.99375249887117</v>
      </c>
      <c r="E18">
        <v>-405.27030038015181</v>
      </c>
      <c r="F18">
        <v>-277.17631207140602</v>
      </c>
      <c r="G18">
        <v>-865.48762925803851</v>
      </c>
      <c r="H18">
        <v>-134.64608120453261</v>
      </c>
      <c r="I18">
        <v>-468.09562276460321</v>
      </c>
      <c r="J18">
        <v>-706.58085786932509</v>
      </c>
      <c r="K18">
        <v>-212.62851805138621</v>
      </c>
    </row>
    <row r="19" spans="1:11" x14ac:dyDescent="0.45">
      <c r="A19" s="1">
        <v>43983</v>
      </c>
      <c r="B19">
        <v>-1459.630516590147</v>
      </c>
      <c r="C19">
        <v>-2414.0454592156689</v>
      </c>
      <c r="D19">
        <v>-591.71892924336601</v>
      </c>
      <c r="E19">
        <v>-597.58087473464786</v>
      </c>
      <c r="F19">
        <v>-227.15663444183829</v>
      </c>
      <c r="G19">
        <v>-1240.3804871992461</v>
      </c>
      <c r="H19">
        <v>-93.096677483252321</v>
      </c>
      <c r="I19">
        <v>-660.56072315835775</v>
      </c>
      <c r="J19">
        <v>-690.07351219403654</v>
      </c>
      <c r="K19">
        <v>-358.42323916399999</v>
      </c>
    </row>
    <row r="20" spans="1:11" x14ac:dyDescent="0.45">
      <c r="A20" s="1">
        <v>44013</v>
      </c>
      <c r="B20">
        <v>-1673.1362985415319</v>
      </c>
      <c r="C20">
        <v>-2375.815164121896</v>
      </c>
      <c r="D20">
        <v>-626.94892458934919</v>
      </c>
      <c r="E20">
        <v>-363.39943221600339</v>
      </c>
      <c r="F20">
        <v>-192.09370490684219</v>
      </c>
      <c r="G20">
        <v>-860.00640469638381</v>
      </c>
      <c r="H20">
        <v>-121.5965469703074</v>
      </c>
      <c r="I20">
        <v>-555.24090935047514</v>
      </c>
      <c r="J20">
        <v>-563.10497885185828</v>
      </c>
      <c r="K20">
        <v>-341.09986500965169</v>
      </c>
    </row>
    <row r="21" spans="1:11" x14ac:dyDescent="0.45">
      <c r="A21" s="1">
        <v>44044</v>
      </c>
      <c r="B21">
        <v>-1966.589655527976</v>
      </c>
      <c r="C21">
        <v>-1314.0033943538119</v>
      </c>
      <c r="D21">
        <v>-454.46555688018492</v>
      </c>
      <c r="E21">
        <v>-276.90137185622041</v>
      </c>
      <c r="F21">
        <v>-157.8816544783374</v>
      </c>
      <c r="G21">
        <v>-799.93896824803596</v>
      </c>
      <c r="H21">
        <v>-115.8867336845052</v>
      </c>
      <c r="I21">
        <v>-483.13791668620809</v>
      </c>
      <c r="J21">
        <v>-410.59069593258067</v>
      </c>
      <c r="K21">
        <v>-204.53293495690249</v>
      </c>
    </row>
    <row r="22" spans="1:11" x14ac:dyDescent="0.45">
      <c r="A22" s="1">
        <v>44075</v>
      </c>
      <c r="B22">
        <v>-2002.110285303911</v>
      </c>
      <c r="C22">
        <v>-1193.5267378463259</v>
      </c>
      <c r="D22">
        <v>-682.41532904897201</v>
      </c>
      <c r="E22">
        <v>-250.28798614745321</v>
      </c>
      <c r="F22">
        <v>-170.94871072770491</v>
      </c>
      <c r="G22">
        <v>-814.67944435710638</v>
      </c>
      <c r="H22">
        <v>-111.72123719040989</v>
      </c>
      <c r="I22">
        <v>-376.90628318290311</v>
      </c>
      <c r="J22">
        <v>-303.4878330627497</v>
      </c>
      <c r="K22">
        <v>-132.65668222150009</v>
      </c>
    </row>
    <row r="23" spans="1:11" x14ac:dyDescent="0.45">
      <c r="A23" s="1">
        <v>44105</v>
      </c>
      <c r="B23">
        <v>-1205.013151920037</v>
      </c>
      <c r="C23">
        <v>-494.64758892730691</v>
      </c>
      <c r="D23">
        <v>-681.99097186899246</v>
      </c>
      <c r="E23">
        <v>-83.128018078468656</v>
      </c>
      <c r="F23">
        <v>-112.19230671867329</v>
      </c>
      <c r="G23">
        <v>-375.31134920943128</v>
      </c>
      <c r="H23">
        <v>-66.343969487042756</v>
      </c>
      <c r="I23">
        <v>-227.85401894418229</v>
      </c>
      <c r="J23">
        <v>-119.69220559390649</v>
      </c>
      <c r="K23">
        <v>-61.383322751048141</v>
      </c>
    </row>
    <row r="24" spans="1:11" x14ac:dyDescent="0.45">
      <c r="A24" s="1">
        <v>44136</v>
      </c>
      <c r="B24">
        <v>-734.07321830418834</v>
      </c>
      <c r="C24">
        <v>-332.20671902009911</v>
      </c>
      <c r="D24">
        <v>-343.85054132681933</v>
      </c>
      <c r="E24">
        <v>-142.09543425385621</v>
      </c>
      <c r="F24">
        <v>-122.6465698767076</v>
      </c>
      <c r="G24">
        <v>-282.96919078630373</v>
      </c>
      <c r="H24">
        <v>-35.173859362677057</v>
      </c>
      <c r="I24">
        <v>-215.66291708483641</v>
      </c>
      <c r="J24">
        <v>-163.31873431345679</v>
      </c>
      <c r="K24">
        <v>-90.483861677340045</v>
      </c>
    </row>
    <row r="25" spans="1:11" x14ac:dyDescent="0.45">
      <c r="A25" s="1">
        <v>44166</v>
      </c>
      <c r="B25">
        <v>-1546.34917593557</v>
      </c>
      <c r="C25">
        <v>-984.37551498808182</v>
      </c>
      <c r="D25">
        <v>-482.59648889962853</v>
      </c>
      <c r="E25">
        <v>-221.1591355321149</v>
      </c>
      <c r="F25">
        <v>-236.17846551307451</v>
      </c>
      <c r="G25">
        <v>-388.3753046934001</v>
      </c>
      <c r="H25">
        <v>-83.615350427128803</v>
      </c>
      <c r="I25">
        <v>-258.46449196420139</v>
      </c>
      <c r="J25">
        <v>-201.16150065809509</v>
      </c>
      <c r="K25">
        <v>-151.775017778734</v>
      </c>
    </row>
    <row r="26" spans="1:11" x14ac:dyDescent="0.45">
      <c r="A26" s="1">
        <v>44197</v>
      </c>
      <c r="B26">
        <v>-1728.0187721307821</v>
      </c>
      <c r="C26">
        <v>-1216.9781320634911</v>
      </c>
      <c r="D26">
        <v>-292.49928560701409</v>
      </c>
      <c r="E26">
        <v>-169.70086802031881</v>
      </c>
      <c r="F26">
        <v>-164.14661493635549</v>
      </c>
      <c r="G26">
        <v>-448.85350557198109</v>
      </c>
      <c r="H26">
        <v>-110.2276029644551</v>
      </c>
      <c r="I26">
        <v>-444.20581813615848</v>
      </c>
      <c r="J26">
        <v>-318.76919490045782</v>
      </c>
      <c r="K26">
        <v>-208.26722177142759</v>
      </c>
    </row>
    <row r="27" spans="1:11" x14ac:dyDescent="0.45">
      <c r="A27" s="1">
        <v>44228</v>
      </c>
      <c r="B27">
        <v>-1778.152069783305</v>
      </c>
      <c r="C27">
        <v>-899.42237827209738</v>
      </c>
      <c r="D27">
        <v>-365.60913687606109</v>
      </c>
      <c r="E27">
        <v>-111.64366446588291</v>
      </c>
      <c r="F27">
        <v>-339.39865039036039</v>
      </c>
      <c r="G27">
        <v>-512.30004694744378</v>
      </c>
      <c r="H27">
        <v>-80.828941275551955</v>
      </c>
      <c r="I27">
        <v>-492.49205238257929</v>
      </c>
      <c r="J27">
        <v>-216.93554419017909</v>
      </c>
      <c r="K27">
        <v>-219.46220354729721</v>
      </c>
    </row>
    <row r="28" spans="1:11" x14ac:dyDescent="0.45">
      <c r="A28" s="1">
        <v>44256</v>
      </c>
      <c r="B28">
        <v>-1405.3721084424319</v>
      </c>
      <c r="C28">
        <v>-1337.5139474495661</v>
      </c>
      <c r="D28">
        <v>-457.86187053545348</v>
      </c>
      <c r="E28">
        <v>-210.6153152081821</v>
      </c>
      <c r="F28">
        <v>-262.77631016827468</v>
      </c>
      <c r="G28">
        <v>-381.92485505649171</v>
      </c>
      <c r="H28">
        <v>-96.269907898201325</v>
      </c>
      <c r="I28">
        <v>-572.20687003755017</v>
      </c>
      <c r="J28">
        <v>-448.37530521203081</v>
      </c>
      <c r="K28">
        <v>-152.03178471041079</v>
      </c>
    </row>
    <row r="29" spans="1:11" x14ac:dyDescent="0.45">
      <c r="A29" s="1">
        <v>44287</v>
      </c>
      <c r="B29">
        <v>-2195.1426294744738</v>
      </c>
      <c r="C29">
        <v>-794.41745671661181</v>
      </c>
      <c r="D29">
        <v>-574.46677197325027</v>
      </c>
      <c r="E29">
        <v>-154.58147035326061</v>
      </c>
      <c r="F29">
        <v>-172.71928510029309</v>
      </c>
      <c r="G29">
        <v>-872.05742964349326</v>
      </c>
      <c r="H29">
        <v>-252.6268885988265</v>
      </c>
      <c r="I29">
        <v>-344.89619427127758</v>
      </c>
      <c r="J29">
        <v>-387.67552539040253</v>
      </c>
      <c r="K29">
        <v>-131.2544443895107</v>
      </c>
    </row>
    <row r="30" spans="1:11" x14ac:dyDescent="0.45">
      <c r="A30" s="1">
        <v>44317</v>
      </c>
      <c r="B30">
        <v>-1312.5479845229111</v>
      </c>
      <c r="C30">
        <v>-703.61372402385712</v>
      </c>
      <c r="D30">
        <v>-384.32315577275301</v>
      </c>
      <c r="E30">
        <v>-60.30901339807388</v>
      </c>
      <c r="F30">
        <v>-169.64372800573011</v>
      </c>
      <c r="G30">
        <v>-1112.64610989832</v>
      </c>
      <c r="H30">
        <v>-169.35477692682679</v>
      </c>
      <c r="I30">
        <v>-381.93470444309861</v>
      </c>
      <c r="J30">
        <v>-280.5121414373366</v>
      </c>
      <c r="K30">
        <v>-103.3346085456229</v>
      </c>
    </row>
    <row r="31" spans="1:11" x14ac:dyDescent="0.45">
      <c r="A31" s="1">
        <v>44348</v>
      </c>
      <c r="B31">
        <v>-1463.4503094637221</v>
      </c>
      <c r="C31">
        <v>-706.39708045820544</v>
      </c>
      <c r="D31">
        <v>-280.66396511376081</v>
      </c>
      <c r="E31">
        <v>-104.5627764355698</v>
      </c>
      <c r="F31">
        <v>-106.4675956504161</v>
      </c>
      <c r="G31">
        <v>-596.35725909475002</v>
      </c>
      <c r="H31">
        <v>-139.0673548831418</v>
      </c>
      <c r="I31">
        <v>-383.79502715752898</v>
      </c>
      <c r="J31">
        <v>-223.36564306768179</v>
      </c>
      <c r="K31">
        <v>-123.9141423331743</v>
      </c>
    </row>
    <row r="32" spans="1:11" x14ac:dyDescent="0.45">
      <c r="A32" s="1">
        <v>44378</v>
      </c>
      <c r="B32">
        <v>-1067.774229817217</v>
      </c>
      <c r="C32">
        <v>-729.23712097176542</v>
      </c>
      <c r="D32">
        <v>-334.22924894712799</v>
      </c>
      <c r="E32">
        <v>-118.3746907392688</v>
      </c>
      <c r="F32">
        <v>-147.38130939778631</v>
      </c>
      <c r="G32">
        <v>-557.87010512442828</v>
      </c>
      <c r="H32">
        <v>-128.00911030273721</v>
      </c>
      <c r="I32">
        <v>-279.61337733045423</v>
      </c>
      <c r="J32">
        <v>-205.94115796132621</v>
      </c>
      <c r="K32">
        <v>-406.85069363626599</v>
      </c>
    </row>
    <row r="33" spans="1:11" x14ac:dyDescent="0.45">
      <c r="A33" s="1">
        <v>44409</v>
      </c>
      <c r="B33">
        <v>-960.22599353843282</v>
      </c>
      <c r="C33">
        <v>-739.52657891779154</v>
      </c>
      <c r="D33">
        <v>-494.00810335805079</v>
      </c>
      <c r="E33">
        <v>-105.1790845874396</v>
      </c>
      <c r="F33">
        <v>-96.194451849755865</v>
      </c>
      <c r="G33">
        <v>-323.87276535558902</v>
      </c>
      <c r="H33">
        <v>-75.316559287618688</v>
      </c>
      <c r="I33">
        <v>-322.2369733106687</v>
      </c>
      <c r="J33">
        <v>-139.5457327709702</v>
      </c>
      <c r="K33">
        <v>-79.983700057338226</v>
      </c>
    </row>
    <row r="34" spans="1:11" x14ac:dyDescent="0.45">
      <c r="A34" s="1">
        <v>44440</v>
      </c>
      <c r="B34">
        <v>-1122.249358080971</v>
      </c>
      <c r="C34">
        <v>-649.42060320065275</v>
      </c>
      <c r="D34">
        <v>-224.1500015311432</v>
      </c>
      <c r="E34">
        <v>-124.6736100886435</v>
      </c>
      <c r="F34">
        <v>-165.2988382117332</v>
      </c>
      <c r="G34">
        <v>-328.51637800971548</v>
      </c>
      <c r="H34">
        <v>-75.410972455927407</v>
      </c>
      <c r="I34">
        <v>-494.9375530925584</v>
      </c>
      <c r="J34">
        <v>-184.6032515075303</v>
      </c>
      <c r="K34">
        <v>-104.12260812933501</v>
      </c>
    </row>
    <row r="35" spans="1:11" x14ac:dyDescent="0.45">
      <c r="A35" s="1">
        <v>44470</v>
      </c>
      <c r="B35">
        <v>-1086.0242562908691</v>
      </c>
      <c r="C35">
        <v>-401.02995598882382</v>
      </c>
      <c r="D35">
        <v>-255.66167234757469</v>
      </c>
      <c r="E35">
        <v>-97.901735886799486</v>
      </c>
      <c r="F35">
        <v>-131.86076307709271</v>
      </c>
      <c r="G35">
        <v>-344.08618876071432</v>
      </c>
      <c r="H35">
        <v>-150.21262449179719</v>
      </c>
      <c r="I35">
        <v>-339.45627066614298</v>
      </c>
      <c r="J35">
        <v>-251.36153845824421</v>
      </c>
      <c r="K35">
        <v>-73.914278670830655</v>
      </c>
    </row>
    <row r="36" spans="1:11" x14ac:dyDescent="0.45">
      <c r="A36" s="1">
        <v>44501</v>
      </c>
      <c r="B36">
        <v>-1314.634203054035</v>
      </c>
      <c r="C36">
        <v>-281.10479045218318</v>
      </c>
      <c r="D36">
        <v>-272.15905071524071</v>
      </c>
      <c r="E36">
        <v>-74.97680219252662</v>
      </c>
      <c r="F36">
        <v>-140.49922932918511</v>
      </c>
      <c r="G36">
        <v>-315.2895485151131</v>
      </c>
      <c r="H36">
        <v>-145.46290675638571</v>
      </c>
      <c r="I36">
        <v>-276.2906082848445</v>
      </c>
      <c r="J36">
        <v>-121.3186319035797</v>
      </c>
      <c r="K36">
        <v>-310.37833545232229</v>
      </c>
    </row>
    <row r="37" spans="1:11" x14ac:dyDescent="0.45">
      <c r="A37" s="1">
        <v>44531</v>
      </c>
      <c r="B37">
        <v>-1571.46634503071</v>
      </c>
      <c r="C37">
        <v>-443.49082526218331</v>
      </c>
      <c r="D37">
        <v>-227.1831581340702</v>
      </c>
      <c r="E37">
        <v>-110.0426161159792</v>
      </c>
      <c r="F37">
        <v>-151.40318250185811</v>
      </c>
      <c r="G37">
        <v>-289.55674360377247</v>
      </c>
      <c r="H37">
        <v>-94.358922456713728</v>
      </c>
      <c r="I37">
        <v>-313.58424725239922</v>
      </c>
      <c r="J37">
        <v>-102.93067648513571</v>
      </c>
      <c r="K37">
        <v>-236.99933283222151</v>
      </c>
    </row>
    <row r="38" spans="1:11" x14ac:dyDescent="0.45">
      <c r="A38" s="1">
        <v>44562</v>
      </c>
      <c r="B38">
        <v>-2274.018275193333</v>
      </c>
      <c r="C38">
        <v>-408.26984674693989</v>
      </c>
      <c r="D38">
        <v>-186.4035293721403</v>
      </c>
      <c r="E38">
        <v>-139.32869739189121</v>
      </c>
      <c r="F38">
        <v>-214.83724799040661</v>
      </c>
      <c r="G38">
        <v>-267.48029844942818</v>
      </c>
      <c r="H38">
        <v>-72.969212885048279</v>
      </c>
      <c r="I38">
        <v>-272.08590327713432</v>
      </c>
      <c r="J38">
        <v>-122.1858964282014</v>
      </c>
      <c r="K38">
        <v>-105.1259304367791</v>
      </c>
    </row>
    <row r="39" spans="1:11" x14ac:dyDescent="0.45">
      <c r="A39" s="1">
        <v>44593</v>
      </c>
      <c r="B39">
        <v>-7103.6987906499262</v>
      </c>
      <c r="C39">
        <v>-605.56574461073058</v>
      </c>
      <c r="D39">
        <v>-354.36433549795038</v>
      </c>
      <c r="E39">
        <v>-96.777045389657545</v>
      </c>
      <c r="F39">
        <v>-108.099791274328</v>
      </c>
      <c r="G39">
        <v>-342.98574224120517</v>
      </c>
      <c r="H39">
        <v>-88.684282844932</v>
      </c>
      <c r="I39">
        <v>-291.05059040570751</v>
      </c>
      <c r="J39">
        <v>-176.00307881447031</v>
      </c>
      <c r="K39">
        <v>-90.112235834247159</v>
      </c>
    </row>
    <row r="40" spans="1:11" x14ac:dyDescent="0.45">
      <c r="A40" s="1">
        <v>44621</v>
      </c>
      <c r="B40">
        <v>-12705.343999871789</v>
      </c>
      <c r="C40">
        <v>-1150.835084805195</v>
      </c>
      <c r="D40">
        <v>-513.27739165397929</v>
      </c>
      <c r="E40">
        <v>-177.9238348061904</v>
      </c>
      <c r="F40">
        <v>-306.99137266079032</v>
      </c>
      <c r="G40">
        <v>-348.45784539829299</v>
      </c>
      <c r="H40">
        <v>-156.58706869966031</v>
      </c>
      <c r="I40">
        <v>-253.69940657521661</v>
      </c>
      <c r="J40">
        <v>-110.51728926588569</v>
      </c>
      <c r="K40">
        <v>-94.915018963643604</v>
      </c>
    </row>
    <row r="41" spans="1:11" x14ac:dyDescent="0.45">
      <c r="A41" s="1">
        <v>44652</v>
      </c>
      <c r="B41">
        <v>-8793.0280748734949</v>
      </c>
      <c r="C41">
        <v>-859.55249528830768</v>
      </c>
      <c r="D41">
        <v>-393.33268468263259</v>
      </c>
      <c r="E41">
        <v>-115.8127101354336</v>
      </c>
      <c r="F41">
        <v>-119.324392494538</v>
      </c>
      <c r="G41">
        <v>-314.34016385380022</v>
      </c>
      <c r="H41">
        <v>-104.0048891749846</v>
      </c>
      <c r="I41">
        <v>-383.17034449096462</v>
      </c>
      <c r="J41">
        <v>-94.478714315577975</v>
      </c>
      <c r="K41">
        <v>-121.06687582444221</v>
      </c>
    </row>
    <row r="42" spans="1:11" x14ac:dyDescent="0.45">
      <c r="A42" s="1">
        <v>44682</v>
      </c>
      <c r="B42">
        <v>-5398.456393085381</v>
      </c>
      <c r="C42">
        <v>-684.63341512434897</v>
      </c>
      <c r="D42">
        <v>-385.82075941152033</v>
      </c>
      <c r="E42">
        <v>-211.91565167447021</v>
      </c>
      <c r="F42">
        <v>-67.523571472411675</v>
      </c>
      <c r="G42">
        <v>-315.93555763168177</v>
      </c>
      <c r="H42">
        <v>-199.09578104317561</v>
      </c>
      <c r="I42">
        <v>-369.64082781118702</v>
      </c>
      <c r="J42">
        <v>-118.66302682733451</v>
      </c>
      <c r="K42">
        <v>-65.348112967156311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47A9-329E-4CFA-8712-4AC89F30A31B}">
  <dimension ref="A1:K42"/>
  <sheetViews>
    <sheetView tabSelected="1" topLeftCell="F1" workbookViewId="0">
      <selection activeCell="Q27" sqref="Q27"/>
    </sheetView>
  </sheetViews>
  <sheetFormatPr defaultRowHeight="14.25" x14ac:dyDescent="0.45"/>
  <sheetData>
    <row r="1" spans="1:11" x14ac:dyDescent="0.45">
      <c r="A1" t="s">
        <v>0</v>
      </c>
      <c r="B1" t="s">
        <v>38</v>
      </c>
      <c r="C1" t="s">
        <v>39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40</v>
      </c>
    </row>
    <row r="2" spans="1:11" x14ac:dyDescent="0.45">
      <c r="A2" s="1">
        <v>43466</v>
      </c>
      <c r="B2">
        <f>STANDARDIZE('confronto CWT'!B2,AVERAGE('confronto CWT'!B$2:B$42),STDEV('confronto CWT'!B$2:B$42))</f>
        <v>-1.3021260865875836E-2</v>
      </c>
      <c r="C2">
        <f>STANDARDIZE('confronto CWT'!C2,AVERAGE('confronto CWT'!C$2:C$42),STDEV('confronto CWT'!C$2:C$42))</f>
        <v>-0.22663030619674623</v>
      </c>
      <c r="D2">
        <f>STANDARDIZE('confronto CWT'!D2,AVERAGE('confronto CWT'!D$2:D$42),STDEV('confronto CWT'!D$2:D$42))</f>
        <v>-0.35901183289050143</v>
      </c>
      <c r="E2">
        <f>STANDARDIZE('confronto CWT'!E2,AVERAGE('confronto CWT'!E$2:E$42),STDEV('confronto CWT'!E$2:E$42))</f>
        <v>0.61923610989587008</v>
      </c>
      <c r="F2">
        <f>STANDARDIZE('confronto CWT'!F2,AVERAGE('confronto CWT'!F$2:F$42),STDEV('confronto CWT'!F$2:F$42))</f>
        <v>-0.8763826985869646</v>
      </c>
      <c r="G2">
        <f>STANDARDIZE('confronto CWT'!G2,AVERAGE('confronto CWT'!G$2:G$42),STDEV('confronto CWT'!G$2:G$42))</f>
        <v>0.61675514627628703</v>
      </c>
      <c r="H2">
        <f>STANDARDIZE('confronto CWT'!H2,AVERAGE('confronto CWT'!H$2:H$42),STDEV('confronto CWT'!H$2:H$42))</f>
        <v>0.89875103732476258</v>
      </c>
      <c r="I2">
        <f>STANDARDIZE('confronto CWT'!I2,AVERAGE('confronto CWT'!I$2:I$42),STDEV('confronto CWT'!I$2:I$42))</f>
        <v>-2.4332316254321347</v>
      </c>
      <c r="J2">
        <f>STANDARDIZE('confronto CWT'!J2,AVERAGE('confronto CWT'!J$2:J$42),STDEV('confronto CWT'!J$2:J$42))</f>
        <v>-2.0830871071346744</v>
      </c>
      <c r="K2">
        <f>STANDARDIZE('confronto CWT'!K2,AVERAGE('confronto CWT'!K$2:K$42),STDEV('confronto CWT'!K$2:K$42))</f>
        <v>0.22971402055917359</v>
      </c>
    </row>
    <row r="3" spans="1:11" x14ac:dyDescent="0.45">
      <c r="A3" s="1">
        <v>43497</v>
      </c>
      <c r="B3">
        <f>STANDARDIZE('confronto CWT'!B3,AVERAGE('confronto CWT'!B$2:B$42),STDEV('confronto CWT'!B$2:B$42))</f>
        <v>4.2014702011245075E-2</v>
      </c>
      <c r="C3">
        <f>STANDARDIZE('confronto CWT'!C3,AVERAGE('confronto CWT'!C$2:C$42),STDEV('confronto CWT'!C$2:C$42))</f>
        <v>0.32020186731441652</v>
      </c>
      <c r="D3">
        <f>STANDARDIZE('confronto CWT'!D3,AVERAGE('confronto CWT'!D$2:D$42),STDEV('confronto CWT'!D$2:D$42))</f>
        <v>6.7409196656341624E-2</v>
      </c>
      <c r="E3">
        <f>STANDARDIZE('confronto CWT'!E3,AVERAGE('confronto CWT'!E$2:E$42),STDEV('confronto CWT'!E$2:E$42))</f>
        <v>0.55645447058175324</v>
      </c>
      <c r="F3">
        <f>STANDARDIZE('confronto CWT'!F3,AVERAGE('confronto CWT'!F$2:F$42),STDEV('confronto CWT'!F$2:F$42))</f>
        <v>-0.54710570338251274</v>
      </c>
      <c r="G3">
        <f>STANDARDIZE('confronto CWT'!G3,AVERAGE('confronto CWT'!G$2:G$42),STDEV('confronto CWT'!G$2:G$42))</f>
        <v>-3.8001474610268202</v>
      </c>
      <c r="H3">
        <f>STANDARDIZE('confronto CWT'!H3,AVERAGE('confronto CWT'!H$2:H$42),STDEV('confronto CWT'!H$2:H$42))</f>
        <v>1.2418985425113673</v>
      </c>
      <c r="I3">
        <f>STANDARDIZE('confronto CWT'!I3,AVERAGE('confronto CWT'!I$2:I$42),STDEV('confronto CWT'!I$2:I$42))</f>
        <v>-1.5312345889549179</v>
      </c>
      <c r="J3">
        <f>STANDARDIZE('confronto CWT'!J3,AVERAGE('confronto CWT'!J$2:J$42),STDEV('confronto CWT'!J$2:J$42))</f>
        <v>-0.60475920374626091</v>
      </c>
      <c r="K3">
        <f>STANDARDIZE('confronto CWT'!K3,AVERAGE('confronto CWT'!K$2:K$42),STDEV('confronto CWT'!K$2:K$42))</f>
        <v>0.67990509548417299</v>
      </c>
    </row>
    <row r="4" spans="1:11" x14ac:dyDescent="0.45">
      <c r="A4" s="1">
        <v>43525</v>
      </c>
      <c r="B4">
        <f>STANDARDIZE('confronto CWT'!B4,AVERAGE('confronto CWT'!B$2:B$42),STDEV('confronto CWT'!B$2:B$42))</f>
        <v>-4.2944347667534374E-3</v>
      </c>
      <c r="C4">
        <f>STANDARDIZE('confronto CWT'!C4,AVERAGE('confronto CWT'!C$2:C$42),STDEV('confronto CWT'!C$2:C$42))</f>
        <v>0.17116184001549653</v>
      </c>
      <c r="D4">
        <f>STANDARDIZE('confronto CWT'!D4,AVERAGE('confronto CWT'!D$2:D$42),STDEV('confronto CWT'!D$2:D$42))</f>
        <v>-0.40604116078785885</v>
      </c>
      <c r="E4">
        <f>STANDARDIZE('confronto CWT'!E4,AVERAGE('confronto CWT'!E$2:E$42),STDEV('confronto CWT'!E$2:E$42))</f>
        <v>-0.20236215466970017</v>
      </c>
      <c r="F4">
        <f>STANDARDIZE('confronto CWT'!F4,AVERAGE('confronto CWT'!F$2:F$42),STDEV('confronto CWT'!F$2:F$42))</f>
        <v>-0.54842653800967156</v>
      </c>
      <c r="G4">
        <f>STANDARDIZE('confronto CWT'!G4,AVERAGE('confronto CWT'!G$2:G$42),STDEV('confronto CWT'!G$2:G$42))</f>
        <v>-1.7609018129474281</v>
      </c>
      <c r="H4">
        <f>STANDARDIZE('confronto CWT'!H4,AVERAGE('confronto CWT'!H$2:H$42),STDEV('confronto CWT'!H$2:H$42))</f>
        <v>1.5912828465374862</v>
      </c>
      <c r="I4">
        <f>STANDARDIZE('confronto CWT'!I4,AVERAGE('confronto CWT'!I$2:I$42),STDEV('confronto CWT'!I$2:I$42))</f>
        <v>-0.56638077111847063</v>
      </c>
      <c r="J4">
        <f>STANDARDIZE('confronto CWT'!J4,AVERAGE('confronto CWT'!J$2:J$42),STDEV('confronto CWT'!J$2:J$42))</f>
        <v>-0.56138157342605333</v>
      </c>
      <c r="K4">
        <f>STANDARDIZE('confronto CWT'!K4,AVERAGE('confronto CWT'!K$2:K$42),STDEV('confronto CWT'!K$2:K$42))</f>
        <v>0.42572914682090679</v>
      </c>
    </row>
    <row r="5" spans="1:11" x14ac:dyDescent="0.45">
      <c r="A5" s="1">
        <v>43556</v>
      </c>
      <c r="B5">
        <f>STANDARDIZE('confronto CWT'!B5,AVERAGE('confronto CWT'!B$2:B$42),STDEV('confronto CWT'!B$2:B$42))</f>
        <v>0.12286029496963519</v>
      </c>
      <c r="C5">
        <f>STANDARDIZE('confronto CWT'!C5,AVERAGE('confronto CWT'!C$2:C$42),STDEV('confronto CWT'!C$2:C$42))</f>
        <v>0.53681995117222436</v>
      </c>
      <c r="D5">
        <f>STANDARDIZE('confronto CWT'!D5,AVERAGE('confronto CWT'!D$2:D$42),STDEV('confronto CWT'!D$2:D$42))</f>
        <v>5.3264140529606117E-2</v>
      </c>
      <c r="E5">
        <f>STANDARDIZE('confronto CWT'!E5,AVERAGE('confronto CWT'!E$2:E$42),STDEV('confronto CWT'!E$2:E$42))</f>
        <v>2.0202946534461634E-2</v>
      </c>
      <c r="F5">
        <f>STANDARDIZE('confronto CWT'!F5,AVERAGE('confronto CWT'!F$2:F$42),STDEV('confronto CWT'!F$2:F$42))</f>
        <v>-1.1818918204110402</v>
      </c>
      <c r="G5">
        <f>STANDARDIZE('confronto CWT'!G5,AVERAGE('confronto CWT'!G$2:G$42),STDEV('confronto CWT'!G$2:G$42))</f>
        <v>-0.77926545782200929</v>
      </c>
      <c r="H5">
        <f>STANDARDIZE('confronto CWT'!H5,AVERAGE('confronto CWT'!H$2:H$42),STDEV('confronto CWT'!H$2:H$42))</f>
        <v>1.1329926122302596</v>
      </c>
      <c r="I5">
        <f>STANDARDIZE('confronto CWT'!I5,AVERAGE('confronto CWT'!I$2:I$42),STDEV('confronto CWT'!I$2:I$42))</f>
        <v>-1.1552442268378327</v>
      </c>
      <c r="J5">
        <f>STANDARDIZE('confronto CWT'!J5,AVERAGE('confronto CWT'!J$2:J$42),STDEV('confronto CWT'!J$2:J$42))</f>
        <v>7.4781479187079919E-2</v>
      </c>
      <c r="K5">
        <f>STANDARDIZE('confronto CWT'!K5,AVERAGE('confronto CWT'!K$2:K$42),STDEV('confronto CWT'!K$2:K$42))</f>
        <v>0.22791748223553321</v>
      </c>
    </row>
    <row r="6" spans="1:11" x14ac:dyDescent="0.45">
      <c r="A6" s="1">
        <v>43586</v>
      </c>
      <c r="B6">
        <f>STANDARDIZE('confronto CWT'!B6,AVERAGE('confronto CWT'!B$2:B$42),STDEV('confronto CWT'!B$2:B$42))</f>
        <v>0.16721469350516197</v>
      </c>
      <c r="C6">
        <f>STANDARDIZE('confronto CWT'!C6,AVERAGE('confronto CWT'!C$2:C$42),STDEV('confronto CWT'!C$2:C$42))</f>
        <v>0.51806706585741402</v>
      </c>
      <c r="D6">
        <f>STANDARDIZE('confronto CWT'!D6,AVERAGE('confronto CWT'!D$2:D$42),STDEV('confronto CWT'!D$2:D$42))</f>
        <v>8.2270082120927401E-2</v>
      </c>
      <c r="E6">
        <f>STANDARDIZE('confronto CWT'!E6,AVERAGE('confronto CWT'!E$2:E$42),STDEV('confronto CWT'!E$2:E$42))</f>
        <v>-0.43813842950161963</v>
      </c>
      <c r="F6">
        <f>STANDARDIZE('confronto CWT'!F6,AVERAGE('confronto CWT'!F$2:F$42),STDEV('confronto CWT'!F$2:F$42))</f>
        <v>-1.5630984170868121</v>
      </c>
      <c r="G6">
        <f>STANDARDIZE('confronto CWT'!G6,AVERAGE('confronto CWT'!G$2:G$42),STDEV('confronto CWT'!G$2:G$42))</f>
        <v>-6.3215124146987836E-2</v>
      </c>
      <c r="H6">
        <f>STANDARDIZE('confronto CWT'!H6,AVERAGE('confronto CWT'!H$2:H$42),STDEV('confronto CWT'!H$2:H$42))</f>
        <v>1.7409039195422371</v>
      </c>
      <c r="I6">
        <f>STANDARDIZE('confronto CWT'!I6,AVERAGE('confronto CWT'!I$2:I$42),STDEV('confronto CWT'!I$2:I$42))</f>
        <v>-0.50169899320668598</v>
      </c>
      <c r="J6">
        <f>STANDARDIZE('confronto CWT'!J6,AVERAGE('confronto CWT'!J$2:J$42),STDEV('confronto CWT'!J$2:J$42))</f>
        <v>-0.46529645900969807</v>
      </c>
      <c r="K6">
        <f>STANDARDIZE('confronto CWT'!K6,AVERAGE('confronto CWT'!K$2:K$42),STDEV('confronto CWT'!K$2:K$42))</f>
        <v>0.67685468189851983</v>
      </c>
    </row>
    <row r="7" spans="1:11" x14ac:dyDescent="0.45">
      <c r="A7" s="1">
        <v>43617</v>
      </c>
      <c r="B7">
        <f>STANDARDIZE('confronto CWT'!B7,AVERAGE('confronto CWT'!B$2:B$42),STDEV('confronto CWT'!B$2:B$42))</f>
        <v>0.1339526583396409</v>
      </c>
      <c r="C7">
        <f>STANDARDIZE('confronto CWT'!C7,AVERAGE('confronto CWT'!C$2:C$42),STDEV('confronto CWT'!C$2:C$42))</f>
        <v>0.81744094760144659</v>
      </c>
      <c r="D7">
        <f>STANDARDIZE('confronto CWT'!D7,AVERAGE('confronto CWT'!D$2:D$42),STDEV('confronto CWT'!D$2:D$42))</f>
        <v>0.15650133506548525</v>
      </c>
      <c r="E7">
        <f>STANDARDIZE('confronto CWT'!E7,AVERAGE('confronto CWT'!E$2:E$42),STDEV('confronto CWT'!E$2:E$42))</f>
        <v>0.11658572620181727</v>
      </c>
      <c r="F7">
        <f>STANDARDIZE('confronto CWT'!F7,AVERAGE('confronto CWT'!F$2:F$42),STDEV('confronto CWT'!F$2:F$42))</f>
        <v>-1.9649536616837544</v>
      </c>
      <c r="G7">
        <f>STANDARDIZE('confronto CWT'!G7,AVERAGE('confronto CWT'!G$2:G$42),STDEV('confronto CWT'!G$2:G$42))</f>
        <v>8.8823773708286424E-2</v>
      </c>
      <c r="H7">
        <f>STANDARDIZE('confronto CWT'!H7,AVERAGE('confronto CWT'!H$2:H$42),STDEV('confronto CWT'!H$2:H$42))</f>
        <v>-0.90784521545212771</v>
      </c>
      <c r="I7">
        <f>STANDARDIZE('confronto CWT'!I7,AVERAGE('confronto CWT'!I$2:I$42),STDEV('confronto CWT'!I$2:I$42))</f>
        <v>-2.1997046465672434</v>
      </c>
      <c r="J7">
        <f>STANDARDIZE('confronto CWT'!J7,AVERAGE('confronto CWT'!J$2:J$42),STDEV('confronto CWT'!J$2:J$42))</f>
        <v>0.33395019815868049</v>
      </c>
      <c r="K7">
        <f>STANDARDIZE('confronto CWT'!K7,AVERAGE('confronto CWT'!K$2:K$42),STDEV('confronto CWT'!K$2:K$42))</f>
        <v>0.85108225594014653</v>
      </c>
    </row>
    <row r="8" spans="1:11" x14ac:dyDescent="0.45">
      <c r="A8" s="1">
        <v>43647</v>
      </c>
      <c r="B8">
        <f>STANDARDIZE('confronto CWT'!B8,AVERAGE('confronto CWT'!B$2:B$42),STDEV('confronto CWT'!B$2:B$42))</f>
        <v>0.13817243269615664</v>
      </c>
      <c r="C8">
        <f>STANDARDIZE('confronto CWT'!C8,AVERAGE('confronto CWT'!C$2:C$42),STDEV('confronto CWT'!C$2:C$42))</f>
        <v>1.1981429905619183</v>
      </c>
      <c r="D8">
        <f>STANDARDIZE('confronto CWT'!D8,AVERAGE('confronto CWT'!D$2:D$42),STDEV('confronto CWT'!D$2:D$42))</f>
        <v>-0.13736752730668131</v>
      </c>
      <c r="E8">
        <f>STANDARDIZE('confronto CWT'!E8,AVERAGE('confronto CWT'!E$2:E$42),STDEV('confronto CWT'!E$2:E$42))</f>
        <v>-0.83011796525445458</v>
      </c>
      <c r="F8">
        <f>STANDARDIZE('confronto CWT'!F8,AVERAGE('confronto CWT'!F$2:F$42),STDEV('confronto CWT'!F$2:F$42))</f>
        <v>-5.2607649772701791E-4</v>
      </c>
      <c r="G8">
        <f>STANDARDIZE('confronto CWT'!G8,AVERAGE('confronto CWT'!G$2:G$42),STDEV('confronto CWT'!G$2:G$42))</f>
        <v>-2.7840244531828807E-2</v>
      </c>
      <c r="H8">
        <f>STANDARDIZE('confronto CWT'!H8,AVERAGE('confronto CWT'!H$2:H$42),STDEV('confronto CWT'!H$2:H$42))</f>
        <v>0.52684458027875269</v>
      </c>
      <c r="I8">
        <f>STANDARDIZE('confronto CWT'!I8,AVERAGE('confronto CWT'!I$2:I$42),STDEV('confronto CWT'!I$2:I$42))</f>
        <v>-1.3626902331314199</v>
      </c>
      <c r="J8">
        <f>STANDARDIZE('confronto CWT'!J8,AVERAGE('confronto CWT'!J$2:J$42),STDEV('confronto CWT'!J$2:J$42))</f>
        <v>-0.35690552502892753</v>
      </c>
      <c r="K8">
        <f>STANDARDIZE('confronto CWT'!K8,AVERAGE('confronto CWT'!K$2:K$42),STDEV('confronto CWT'!K$2:K$42))</f>
        <v>0.69495619307192336</v>
      </c>
    </row>
    <row r="9" spans="1:11" x14ac:dyDescent="0.45">
      <c r="A9" s="1">
        <v>43678</v>
      </c>
      <c r="B9">
        <f>STANDARDIZE('confronto CWT'!B9,AVERAGE('confronto CWT'!B$2:B$42),STDEV('confronto CWT'!B$2:B$42))</f>
        <v>0.25426607310549637</v>
      </c>
      <c r="C9">
        <f>STANDARDIZE('confronto CWT'!C9,AVERAGE('confronto CWT'!C$2:C$42),STDEV('confronto CWT'!C$2:C$42))</f>
        <v>-0.40156185625748747</v>
      </c>
      <c r="D9">
        <f>STANDARDIZE('confronto CWT'!D9,AVERAGE('confronto CWT'!D$2:D$42),STDEV('confronto CWT'!D$2:D$42))</f>
        <v>0.25758588256781573</v>
      </c>
      <c r="E9">
        <f>STANDARDIZE('confronto CWT'!E9,AVERAGE('confronto CWT'!E$2:E$42),STDEV('confronto CWT'!E$2:E$42))</f>
        <v>-0.73092470298535284</v>
      </c>
      <c r="F9">
        <f>STANDARDIZE('confronto CWT'!F9,AVERAGE('confronto CWT'!F$2:F$42),STDEV('confronto CWT'!F$2:F$42))</f>
        <v>3.8818461324742794E-2</v>
      </c>
      <c r="G9">
        <f>STANDARDIZE('confronto CWT'!G9,AVERAGE('confronto CWT'!G$2:G$42),STDEV('confronto CWT'!G$2:G$42))</f>
        <v>-1.4140540926087553</v>
      </c>
      <c r="H9">
        <f>STANDARDIZE('confronto CWT'!H9,AVERAGE('confronto CWT'!H$2:H$42),STDEV('confronto CWT'!H$2:H$42))</f>
        <v>0.22715439793385717</v>
      </c>
      <c r="I9">
        <f>STANDARDIZE('confronto CWT'!I9,AVERAGE('confronto CWT'!I$2:I$42),STDEV('confronto CWT'!I$2:I$42))</f>
        <v>-2.3884031925089779</v>
      </c>
      <c r="J9">
        <f>STANDARDIZE('confronto CWT'!J9,AVERAGE('confronto CWT'!J$2:J$42),STDEV('confronto CWT'!J$2:J$42))</f>
        <v>-2.327951359538067</v>
      </c>
      <c r="K9">
        <f>STANDARDIZE('confronto CWT'!K9,AVERAGE('confronto CWT'!K$2:K$42),STDEV('confronto CWT'!K$2:K$42))</f>
        <v>0.83688752353611895</v>
      </c>
    </row>
    <row r="10" spans="1:11" x14ac:dyDescent="0.45">
      <c r="A10" s="1">
        <v>43709</v>
      </c>
      <c r="B10">
        <f>STANDARDIZE('confronto CWT'!B10,AVERAGE('confronto CWT'!B$2:B$42),STDEV('confronto CWT'!B$2:B$42))</f>
        <v>0.378559609679196</v>
      </c>
      <c r="C10">
        <f>STANDARDIZE('confronto CWT'!C10,AVERAGE('confronto CWT'!C$2:C$42),STDEV('confronto CWT'!C$2:C$42))</f>
        <v>-8.9376818572742406E-2</v>
      </c>
      <c r="D10">
        <f>STANDARDIZE('confronto CWT'!D10,AVERAGE('confronto CWT'!D$2:D$42),STDEV('confronto CWT'!D$2:D$42))</f>
        <v>0.19568938144942719</v>
      </c>
      <c r="E10">
        <f>STANDARDIZE('confronto CWT'!E10,AVERAGE('confronto CWT'!E$2:E$42),STDEV('confronto CWT'!E$2:E$42))</f>
        <v>4.2398560628326962E-2</v>
      </c>
      <c r="F10">
        <f>STANDARDIZE('confronto CWT'!F10,AVERAGE('confronto CWT'!F$2:F$42),STDEV('confronto CWT'!F$2:F$42))</f>
        <v>-4.575878663100565</v>
      </c>
      <c r="G10">
        <f>STANDARDIZE('confronto CWT'!G10,AVERAGE('confronto CWT'!G$2:G$42),STDEV('confronto CWT'!G$2:G$42))</f>
        <v>-0.16535574379376813</v>
      </c>
      <c r="H10">
        <f>STANDARDIZE('confronto CWT'!H10,AVERAGE('confronto CWT'!H$2:H$42),STDEV('confronto CWT'!H$2:H$42))</f>
        <v>1.2065955064733604</v>
      </c>
      <c r="I10">
        <f>STANDARDIZE('confronto CWT'!I10,AVERAGE('confronto CWT'!I$2:I$42),STDEV('confronto CWT'!I$2:I$42))</f>
        <v>8.1193704486414893E-3</v>
      </c>
      <c r="J10">
        <f>STANDARDIZE('confronto CWT'!J10,AVERAGE('confronto CWT'!J$2:J$42),STDEV('confronto CWT'!J$2:J$42))</f>
        <v>-6.0368363920334761E-2</v>
      </c>
      <c r="K10">
        <f>STANDARDIZE('confronto CWT'!K10,AVERAGE('confronto CWT'!K$2:K$42),STDEV('confronto CWT'!K$2:K$42))</f>
        <v>-1.7188792620806119</v>
      </c>
    </row>
    <row r="11" spans="1:11" x14ac:dyDescent="0.45">
      <c r="A11" s="1">
        <v>43739</v>
      </c>
      <c r="B11">
        <f>STANDARDIZE('confronto CWT'!B11,AVERAGE('confronto CWT'!B$2:B$42),STDEV('confronto CWT'!B$2:B$42))</f>
        <v>0.22790620753530433</v>
      </c>
      <c r="C11">
        <f>STANDARDIZE('confronto CWT'!C11,AVERAGE('confronto CWT'!C$2:C$42),STDEV('confronto CWT'!C$2:C$42))</f>
        <v>-0.14763632828042728</v>
      </c>
      <c r="D11">
        <f>STANDARDIZE('confronto CWT'!D11,AVERAGE('confronto CWT'!D$2:D$42),STDEV('confronto CWT'!D$2:D$42))</f>
        <v>-5.1347048469317516</v>
      </c>
      <c r="E11">
        <f>STANDARDIZE('confronto CWT'!E11,AVERAGE('confronto CWT'!E$2:E$42),STDEV('confronto CWT'!E$2:E$42))</f>
        <v>0.11737727379884101</v>
      </c>
      <c r="F11">
        <f>STANDARDIZE('confronto CWT'!F11,AVERAGE('confronto CWT'!F$2:F$42),STDEV('confronto CWT'!F$2:F$42))</f>
        <v>-1.591478309694061E-2</v>
      </c>
      <c r="G11">
        <f>STANDARDIZE('confronto CWT'!G11,AVERAGE('confronto CWT'!G$2:G$42),STDEV('confronto CWT'!G$2:G$42))</f>
        <v>0.42213763351695083</v>
      </c>
      <c r="H11">
        <f>STANDARDIZE('confronto CWT'!H11,AVERAGE('confronto CWT'!H$2:H$42),STDEV('confronto CWT'!H$2:H$42))</f>
        <v>-0.62517840580975292</v>
      </c>
      <c r="I11">
        <f>STANDARDIZE('confronto CWT'!I11,AVERAGE('confronto CWT'!I$2:I$42),STDEV('confronto CWT'!I$2:I$42))</f>
        <v>-5.3417399049213839E-2</v>
      </c>
      <c r="J11">
        <f>STANDARDIZE('confronto CWT'!J11,AVERAGE('confronto CWT'!J$2:J$42),STDEV('confronto CWT'!J$2:J$42))</f>
        <v>0.63800434367712155</v>
      </c>
      <c r="K11">
        <f>STANDARDIZE('confronto CWT'!K11,AVERAGE('confronto CWT'!K$2:K$42),STDEV('confronto CWT'!K$2:K$42))</f>
        <v>0.64339552033387526</v>
      </c>
    </row>
    <row r="12" spans="1:11" x14ac:dyDescent="0.45">
      <c r="A12" s="1">
        <v>43770</v>
      </c>
      <c r="B12">
        <f>STANDARDIZE('confronto CWT'!B12,AVERAGE('confronto CWT'!B$2:B$42),STDEV('confronto CWT'!B$2:B$42))</f>
        <v>0.33169873158764329</v>
      </c>
      <c r="C12">
        <f>STANDARDIZE('confronto CWT'!C12,AVERAGE('confronto CWT'!C$2:C$42),STDEV('confronto CWT'!C$2:C$42))</f>
        <v>-0.24528386049258552</v>
      </c>
      <c r="D12">
        <f>STANDARDIZE('confronto CWT'!D12,AVERAGE('confronto CWT'!D$2:D$42),STDEV('confronto CWT'!D$2:D$42))</f>
        <v>-0.66587756340184623</v>
      </c>
      <c r="E12">
        <f>STANDARDIZE('confronto CWT'!E12,AVERAGE('confronto CWT'!E$2:E$42),STDEV('confronto CWT'!E$2:E$42))</f>
        <v>0.18319027216094327</v>
      </c>
      <c r="F12">
        <f>STANDARDIZE('confronto CWT'!F12,AVERAGE('confronto CWT'!F$2:F$42),STDEV('confronto CWT'!F$2:F$42))</f>
        <v>0.30361305753577927</v>
      </c>
      <c r="G12">
        <f>STANDARDIZE('confronto CWT'!G12,AVERAGE('confronto CWT'!G$2:G$42),STDEV('confronto CWT'!G$2:G$42))</f>
        <v>0.63157429314628621</v>
      </c>
      <c r="H12">
        <f>STANDARDIZE('confronto CWT'!H12,AVERAGE('confronto CWT'!H$2:H$42),STDEV('confronto CWT'!H$2:H$42))</f>
        <v>1.4438171345767112</v>
      </c>
      <c r="I12">
        <f>STANDARDIZE('confronto CWT'!I12,AVERAGE('confronto CWT'!I$2:I$42),STDEV('confronto CWT'!I$2:I$42))</f>
        <v>-2.1252674678299002</v>
      </c>
      <c r="J12">
        <f>STANDARDIZE('confronto CWT'!J12,AVERAGE('confronto CWT'!J$2:J$42),STDEV('confronto CWT'!J$2:J$42))</f>
        <v>7.3578137287700823E-2</v>
      </c>
      <c r="K12">
        <f>STANDARDIZE('confronto CWT'!K12,AVERAGE('confronto CWT'!K$2:K$42),STDEV('confronto CWT'!K$2:K$42))</f>
        <v>0.7509511161377429</v>
      </c>
    </row>
    <row r="13" spans="1:11" x14ac:dyDescent="0.45">
      <c r="A13" s="1">
        <v>43800</v>
      </c>
      <c r="B13">
        <f>STANDARDIZE('confronto CWT'!B13,AVERAGE('confronto CWT'!B$2:B$42),STDEV('confronto CWT'!B$2:B$42))</f>
        <v>0.11721868194256212</v>
      </c>
      <c r="C13">
        <f>STANDARDIZE('confronto CWT'!C13,AVERAGE('confronto CWT'!C$2:C$42),STDEV('confronto CWT'!C$2:C$42))</f>
        <v>0.31030496439341654</v>
      </c>
      <c r="D13">
        <f>STANDARDIZE('confronto CWT'!D13,AVERAGE('confronto CWT'!D$2:D$42),STDEV('confronto CWT'!D$2:D$42))</f>
        <v>-0.43931535752055351</v>
      </c>
      <c r="E13">
        <f>STANDARDIZE('confronto CWT'!E13,AVERAGE('confronto CWT'!E$2:E$42),STDEV('confronto CWT'!E$2:E$42))</f>
        <v>0.37109896458721897</v>
      </c>
      <c r="F13">
        <f>STANDARDIZE('confronto CWT'!F13,AVERAGE('confronto CWT'!F$2:F$42),STDEV('confronto CWT'!F$2:F$42))</f>
        <v>-0.45514760603441068</v>
      </c>
      <c r="G13">
        <f>STANDARDIZE('confronto CWT'!G13,AVERAGE('confronto CWT'!G$2:G$42),STDEV('confronto CWT'!G$2:G$42))</f>
        <v>-1.339304287835011</v>
      </c>
      <c r="H13">
        <f>STANDARDIZE('confronto CWT'!H13,AVERAGE('confronto CWT'!H$2:H$42),STDEV('confronto CWT'!H$2:H$42))</f>
        <v>0.8014081508075297</v>
      </c>
      <c r="I13">
        <f>STANDARDIZE('confronto CWT'!I13,AVERAGE('confronto CWT'!I$2:I$42),STDEV('confronto CWT'!I$2:I$42))</f>
        <v>-8.9983807044541148E-2</v>
      </c>
      <c r="J13">
        <f>STANDARDIZE('confronto CWT'!J13,AVERAGE('confronto CWT'!J$2:J$42),STDEV('confronto CWT'!J$2:J$42))</f>
        <v>0.48962414919429748</v>
      </c>
      <c r="K13">
        <f>STANDARDIZE('confronto CWT'!K13,AVERAGE('confronto CWT'!K$2:K$42),STDEV('confronto CWT'!K$2:K$42))</f>
        <v>0.87308703289207501</v>
      </c>
    </row>
    <row r="14" spans="1:11" x14ac:dyDescent="0.45">
      <c r="A14" s="1">
        <v>43831</v>
      </c>
      <c r="B14">
        <f>STANDARDIZE('confronto CWT'!B14,AVERAGE('confronto CWT'!B$2:B$42),STDEV('confronto CWT'!B$2:B$42))</f>
        <v>0.39894997183898606</v>
      </c>
      <c r="C14">
        <f>STANDARDIZE('confronto CWT'!C14,AVERAGE('confronto CWT'!C$2:C$42),STDEV('confronto CWT'!C$2:C$42))</f>
        <v>-1.4315311001580202</v>
      </c>
      <c r="D14">
        <f>STANDARDIZE('confronto CWT'!D14,AVERAGE('confronto CWT'!D$2:D$42),STDEV('confronto CWT'!D$2:D$42))</f>
        <v>-0.30117308532033926</v>
      </c>
      <c r="E14">
        <f>STANDARDIZE('confronto CWT'!E14,AVERAGE('confronto CWT'!E$2:E$42),STDEV('confronto CWT'!E$2:E$42))</f>
        <v>0.10259633221796495</v>
      </c>
      <c r="F14">
        <f>STANDARDIZE('confronto CWT'!F14,AVERAGE('confronto CWT'!F$2:F$42),STDEV('confronto CWT'!F$2:F$42))</f>
        <v>-0.70099318077300399</v>
      </c>
      <c r="G14">
        <f>STANDARDIZE('confronto CWT'!G14,AVERAGE('confronto CWT'!G$2:G$42),STDEV('confronto CWT'!G$2:G$42))</f>
        <v>9.9785091635126111E-2</v>
      </c>
      <c r="H14">
        <f>STANDARDIZE('confronto CWT'!H14,AVERAGE('confronto CWT'!H$2:H$42),STDEV('confronto CWT'!H$2:H$42))</f>
        <v>-0.16674496742206985</v>
      </c>
      <c r="I14">
        <f>STANDARDIZE('confronto CWT'!I14,AVERAGE('confronto CWT'!I$2:I$42),STDEV('confronto CWT'!I$2:I$42))</f>
        <v>-7.6234575206165847E-2</v>
      </c>
      <c r="J14">
        <f>STANDARDIZE('confronto CWT'!J14,AVERAGE('confronto CWT'!J$2:J$42),STDEV('confronto CWT'!J$2:J$42))</f>
        <v>0.34830965169879186</v>
      </c>
      <c r="K14">
        <f>STANDARDIZE('confronto CWT'!K14,AVERAGE('confronto CWT'!K$2:K$42),STDEV('confronto CWT'!K$2:K$42))</f>
        <v>0.77446460361387437</v>
      </c>
    </row>
    <row r="15" spans="1:11" x14ac:dyDescent="0.45">
      <c r="A15" s="1">
        <v>43862</v>
      </c>
      <c r="B15">
        <f>STANDARDIZE('confronto CWT'!B15,AVERAGE('confronto CWT'!B$2:B$42),STDEV('confronto CWT'!B$2:B$42))</f>
        <v>0.13537774395311794</v>
      </c>
      <c r="C15">
        <f>STANDARDIZE('confronto CWT'!C15,AVERAGE('confronto CWT'!C$2:C$42),STDEV('confronto CWT'!C$2:C$42))</f>
        <v>-3.9678896775876447</v>
      </c>
      <c r="D15">
        <f>STANDARDIZE('confronto CWT'!D15,AVERAGE('confronto CWT'!D$2:D$42),STDEV('confronto CWT'!D$2:D$42))</f>
        <v>-2.0512922794360104</v>
      </c>
      <c r="E15">
        <f>STANDARDIZE('confronto CWT'!E15,AVERAGE('confronto CWT'!E$2:E$42),STDEV('confronto CWT'!E$2:E$42))</f>
        <v>-2.3599117008650929</v>
      </c>
      <c r="F15">
        <f>STANDARDIZE('confronto CWT'!F15,AVERAGE('confronto CWT'!F$2:F$42),STDEV('confronto CWT'!F$2:F$42))</f>
        <v>0.20804608044796125</v>
      </c>
      <c r="G15">
        <f>STANDARDIZE('confronto CWT'!G15,AVERAGE('confronto CWT'!G$2:G$42),STDEV('confronto CWT'!G$2:G$42))</f>
        <v>0.17258291874681872</v>
      </c>
      <c r="H15">
        <f>STANDARDIZE('confronto CWT'!H15,AVERAGE('confronto CWT'!H$2:H$42),STDEV('confronto CWT'!H$2:H$42))</f>
        <v>-1.7948663221200321</v>
      </c>
      <c r="I15">
        <f>STANDARDIZE('confronto CWT'!I15,AVERAGE('confronto CWT'!I$2:I$42),STDEV('confronto CWT'!I$2:I$42))</f>
        <v>-6.6750165411098614E-2</v>
      </c>
      <c r="J15">
        <f>STANDARDIZE('confronto CWT'!J15,AVERAGE('confronto CWT'!J$2:J$42),STDEV('confronto CWT'!J$2:J$42))</f>
        <v>0.5488101730200895</v>
      </c>
      <c r="K15">
        <f>STANDARDIZE('confronto CWT'!K15,AVERAGE('confronto CWT'!K$2:K$42),STDEV('confronto CWT'!K$2:K$42))</f>
        <v>6.797491157789215E-2</v>
      </c>
    </row>
    <row r="16" spans="1:11" x14ac:dyDescent="0.45">
      <c r="A16" s="1">
        <v>43891</v>
      </c>
      <c r="B16">
        <f>STANDARDIZE('confronto CWT'!B16,AVERAGE('confronto CWT'!B$2:B$42),STDEV('confronto CWT'!B$2:B$42))</f>
        <v>0.32206517716646066</v>
      </c>
      <c r="C16">
        <f>STANDARDIZE('confronto CWT'!C16,AVERAGE('confronto CWT'!C$2:C$42),STDEV('confronto CWT'!C$2:C$42))</f>
        <v>-2.3856671904666418</v>
      </c>
      <c r="D16">
        <f>STANDARDIZE('confronto CWT'!D16,AVERAGE('confronto CWT'!D$2:D$42),STDEV('confronto CWT'!D$2:D$42))</f>
        <v>-1.4918678576269948</v>
      </c>
      <c r="E16">
        <f>STANDARDIZE('confronto CWT'!E16,AVERAGE('confronto CWT'!E$2:E$42),STDEV('confronto CWT'!E$2:E$42))</f>
        <v>-3.2778453708428112</v>
      </c>
      <c r="F16">
        <f>STANDARDIZE('confronto CWT'!F16,AVERAGE('confronto CWT'!F$2:F$42),STDEV('confronto CWT'!F$2:F$42))</f>
        <v>-0.77625110903766181</v>
      </c>
      <c r="G16">
        <f>STANDARDIZE('confronto CWT'!G16,AVERAGE('confronto CWT'!G$2:G$42),STDEV('confronto CWT'!G$2:G$42))</f>
        <v>-0.24747576141735889</v>
      </c>
      <c r="H16">
        <f>STANDARDIZE('confronto CWT'!H16,AVERAGE('confronto CWT'!H$2:H$42),STDEV('confronto CWT'!H$2:H$42))</f>
        <v>-1.0787125042865893</v>
      </c>
      <c r="I16">
        <f>STANDARDIZE('confronto CWT'!I16,AVERAGE('confronto CWT'!I$2:I$42),STDEV('confronto CWT'!I$2:I$42))</f>
        <v>3.0782234239167979E-2</v>
      </c>
      <c r="J16">
        <f>STANDARDIZE('confronto CWT'!J16,AVERAGE('confronto CWT'!J$2:J$42),STDEV('confronto CWT'!J$2:J$42))</f>
        <v>-0.56094637447268181</v>
      </c>
      <c r="K16">
        <f>STANDARDIZE('confronto CWT'!K16,AVERAGE('confronto CWT'!K$2:K$42),STDEV('confronto CWT'!K$2:K$42))</f>
        <v>-1.8040476829103489</v>
      </c>
    </row>
    <row r="17" spans="1:11" x14ac:dyDescent="0.45">
      <c r="A17" s="1">
        <v>43922</v>
      </c>
      <c r="B17">
        <f>STANDARDIZE('confronto CWT'!B17,AVERAGE('confronto CWT'!B$2:B$42),STDEV('confronto CWT'!B$2:B$42))</f>
        <v>0.42130311944934684</v>
      </c>
      <c r="C17">
        <f>STANDARDIZE('confronto CWT'!C17,AVERAGE('confronto CWT'!C$2:C$42),STDEV('confronto CWT'!C$2:C$42))</f>
        <v>-1.6747287952273389</v>
      </c>
      <c r="D17">
        <f>STANDARDIZE('confronto CWT'!D17,AVERAGE('confronto CWT'!D$2:D$42),STDEV('confronto CWT'!D$2:D$42))</f>
        <v>0.15677326557402183</v>
      </c>
      <c r="E17">
        <f>STANDARDIZE('confronto CWT'!E17,AVERAGE('confronto CWT'!E$2:E$42),STDEV('confronto CWT'!E$2:E$42))</f>
        <v>-1.6736282865331982</v>
      </c>
      <c r="F17">
        <f>STANDARDIZE('confronto CWT'!F17,AVERAGE('confronto CWT'!F$2:F$42),STDEV('confronto CWT'!F$2:F$42))</f>
        <v>-0.48677891156958503</v>
      </c>
      <c r="G17">
        <f>STANDARDIZE('confronto CWT'!G17,AVERAGE('confronto CWT'!G$2:G$42),STDEV('confronto CWT'!G$2:G$42))</f>
        <v>-0.27063795481993924</v>
      </c>
      <c r="H17">
        <f>STANDARDIZE('confronto CWT'!H17,AVERAGE('confronto CWT'!H$2:H$42),STDEV('confronto CWT'!H$2:H$42))</f>
        <v>-1.5412400393836716</v>
      </c>
      <c r="I17">
        <f>STANDARDIZE('confronto CWT'!I17,AVERAGE('confronto CWT'!I$2:I$42),STDEV('confronto CWT'!I$2:I$42))</f>
        <v>0.30713909083244739</v>
      </c>
      <c r="J17">
        <f>STANDARDIZE('confronto CWT'!J17,AVERAGE('confronto CWT'!J$2:J$42),STDEV('confronto CWT'!J$2:J$42))</f>
        <v>-0.66709054514516353</v>
      </c>
      <c r="K17">
        <f>STANDARDIZE('confronto CWT'!K17,AVERAGE('confronto CWT'!K$2:K$42),STDEV('confronto CWT'!K$2:K$42))</f>
        <v>-1.4799274100289672</v>
      </c>
    </row>
    <row r="18" spans="1:11" x14ac:dyDescent="0.45">
      <c r="A18" s="1">
        <v>43952</v>
      </c>
      <c r="B18">
        <f>STANDARDIZE('confronto CWT'!B18,AVERAGE('confronto CWT'!B$2:B$42),STDEV('confronto CWT'!B$2:B$42))</f>
        <v>0.36677593778496703</v>
      </c>
      <c r="C18">
        <f>STANDARDIZE('confronto CWT'!C18,AVERAGE('confronto CWT'!C$2:C$42),STDEV('confronto CWT'!C$2:C$42))</f>
        <v>-1.3059067712095762</v>
      </c>
      <c r="D18">
        <f>STANDARDIZE('confronto CWT'!D18,AVERAGE('confronto CWT'!D$2:D$42),STDEV('confronto CWT'!D$2:D$42))</f>
        <v>0.40809136944857977</v>
      </c>
      <c r="E18">
        <f>STANDARDIZE('confronto CWT'!E18,AVERAGE('confronto CWT'!E$2:E$42),STDEV('confronto CWT'!E$2:E$42))</f>
        <v>-1.2143230777281875</v>
      </c>
      <c r="F18">
        <f>STANDARDIZE('confronto CWT'!F18,AVERAGE('confronto CWT'!F$2:F$42),STDEV('confronto CWT'!F$2:F$42))</f>
        <v>0.16244618750591333</v>
      </c>
      <c r="G18">
        <f>STANDARDIZE('confronto CWT'!G18,AVERAGE('confronto CWT'!G$2:G$42),STDEV('confronto CWT'!G$2:G$42))</f>
        <v>-0.59933957615503497</v>
      </c>
      <c r="H18">
        <f>STANDARDIZE('confronto CWT'!H18,AVERAGE('confronto CWT'!H$2:H$42),STDEV('confronto CWT'!H$2:H$42))</f>
        <v>-0.52885921490876098</v>
      </c>
      <c r="I18">
        <f>STANDARDIZE('confronto CWT'!I18,AVERAGE('confronto CWT'!I$2:I$42),STDEV('confronto CWT'!I$2:I$42))</f>
        <v>0.22729889965571723</v>
      </c>
      <c r="J18">
        <f>STANDARDIZE('confronto CWT'!J18,AVERAGE('confronto CWT'!J$2:J$42),STDEV('confronto CWT'!J$2:J$42))</f>
        <v>-2.3866201256590891</v>
      </c>
      <c r="K18">
        <f>STANDARDIZE('confronto CWT'!K18,AVERAGE('confronto CWT'!K$2:K$42),STDEV('confronto CWT'!K$2:K$42))</f>
        <v>-0.58938704611843185</v>
      </c>
    </row>
    <row r="19" spans="1:11" x14ac:dyDescent="0.45">
      <c r="A19" s="1">
        <v>43983</v>
      </c>
      <c r="B19">
        <f>STANDARDIZE('confronto CWT'!B19,AVERAGE('confronto CWT'!B$2:B$42),STDEV('confronto CWT'!B$2:B$42))</f>
        <v>0.38404157068731415</v>
      </c>
      <c r="C19">
        <f>STANDARDIZE('confronto CWT'!C19,AVERAGE('confronto CWT'!C$2:C$42),STDEV('confronto CWT'!C$2:C$42))</f>
        <v>-1.0805843567453035</v>
      </c>
      <c r="D19">
        <f>STANDARDIZE('confronto CWT'!D19,AVERAGE('confronto CWT'!D$2:D$42),STDEV('confronto CWT'!D$2:D$42))</f>
        <v>3.6988422351699794E-2</v>
      </c>
      <c r="E19">
        <f>STANDARDIZE('confronto CWT'!E19,AVERAGE('confronto CWT'!E$2:E$42),STDEV('confronto CWT'!E$2:E$42))</f>
        <v>-2.5086628705725551</v>
      </c>
      <c r="F19">
        <f>STANDARDIZE('confronto CWT'!F19,AVERAGE('confronto CWT'!F$2:F$42),STDEV('confronto CWT'!F$2:F$42))</f>
        <v>0.33930142685946346</v>
      </c>
      <c r="G19">
        <f>STANDARDIZE('confronto CWT'!G19,AVERAGE('confronto CWT'!G$2:G$42),STDEV('confronto CWT'!G$2:G$42))</f>
        <v>-1.625433008301453</v>
      </c>
      <c r="H19">
        <f>STANDARDIZE('confronto CWT'!H19,AVERAGE('confronto CWT'!H$2:H$42),STDEV('confronto CWT'!H$2:H$42))</f>
        <v>0.23187290769102362</v>
      </c>
      <c r="I19">
        <f>STANDARDIZE('confronto CWT'!I19,AVERAGE('confronto CWT'!I$2:I$42),STDEV('confronto CWT'!I$2:I$42))</f>
        <v>-0.50452182844536742</v>
      </c>
      <c r="J19">
        <f>STANDARDIZE('confronto CWT'!J19,AVERAGE('confronto CWT'!J$2:J$42),STDEV('confronto CWT'!J$2:J$42))</f>
        <v>-2.2893369142855162</v>
      </c>
      <c r="K19">
        <f>STANDARDIZE('confronto CWT'!K19,AVERAGE('confronto CWT'!K$2:K$42),STDEV('confronto CWT'!K$2:K$42))</f>
        <v>-2.1305414620225083</v>
      </c>
    </row>
    <row r="20" spans="1:11" x14ac:dyDescent="0.45">
      <c r="A20" s="1">
        <v>44013</v>
      </c>
      <c r="B20">
        <f>STANDARDIZE('confronto CWT'!B20,AVERAGE('confronto CWT'!B$2:B$42),STDEV('confronto CWT'!B$2:B$42))</f>
        <v>0.28957736690708408</v>
      </c>
      <c r="C20">
        <f>STANDARDIZE('confronto CWT'!C20,AVERAGE('confronto CWT'!C$2:C$42),STDEV('confronto CWT'!C$2:C$42))</f>
        <v>-1.0447601039552525</v>
      </c>
      <c r="D20">
        <f>STANDARDIZE('confronto CWT'!D20,AVERAGE('confronto CWT'!D$2:D$42),STDEV('confronto CWT'!D$2:D$42))</f>
        <v>-3.3786743922397999E-2</v>
      </c>
      <c r="E20">
        <f>STANDARDIZE('confronto CWT'!E20,AVERAGE('confronto CWT'!E$2:E$42),STDEV('confronto CWT'!E$2:E$42))</f>
        <v>-0.93251262082685749</v>
      </c>
      <c r="F20">
        <f>STANDARDIZE('confronto CWT'!F20,AVERAGE('confronto CWT'!F$2:F$42),STDEV('confronto CWT'!F$2:F$42))</f>
        <v>0.46327389308109324</v>
      </c>
      <c r="G20">
        <f>STANDARDIZE('confronto CWT'!G20,AVERAGE('confronto CWT'!G$2:G$42),STDEV('confronto CWT'!G$2:G$42))</f>
        <v>-0.58433729375968579</v>
      </c>
      <c r="H20">
        <f>STANDARDIZE('confronto CWT'!H20,AVERAGE('confronto CWT'!H$2:H$42),STDEV('confronto CWT'!H$2:H$42))</f>
        <v>-0.289934008098722</v>
      </c>
      <c r="I20">
        <f>STANDARDIZE('confronto CWT'!I20,AVERAGE('confronto CWT'!I$2:I$42),STDEV('confronto CWT'!I$2:I$42))</f>
        <v>-0.10405845785677213</v>
      </c>
      <c r="J20">
        <f>STANDARDIZE('confronto CWT'!J20,AVERAGE('confronto CWT'!J$2:J$42),STDEV('confronto CWT'!J$2:J$42))</f>
        <v>-1.5410696331677274</v>
      </c>
      <c r="K20">
        <f>STANDARDIZE('confronto CWT'!K20,AVERAGE('confronto CWT'!K$2:K$42),STDEV('confronto CWT'!K$2:K$42))</f>
        <v>-1.9474210145015687</v>
      </c>
    </row>
    <row r="21" spans="1:11" x14ac:dyDescent="0.45">
      <c r="A21" s="1">
        <v>44044</v>
      </c>
      <c r="B21">
        <f>STANDARDIZE('confronto CWT'!B21,AVERAGE('confronto CWT'!B$2:B$42),STDEV('confronto CWT'!B$2:B$42))</f>
        <v>0.15974089381020065</v>
      </c>
      <c r="C21">
        <f>STANDARDIZE('confronto CWT'!C21,AVERAGE('confronto CWT'!C$2:C$42),STDEV('confronto CWT'!C$2:C$42))</f>
        <v>-4.9773976792996881E-2</v>
      </c>
      <c r="D21">
        <f>STANDARDIZE('confronto CWT'!D21,AVERAGE('confronto CWT'!D$2:D$42),STDEV('confronto CWT'!D$2:D$42))</f>
        <v>0.31272306708512226</v>
      </c>
      <c r="E21">
        <f>STANDARDIZE('confronto CWT'!E21,AVERAGE('confronto CWT'!E$2:E$42),STDEV('confronto CWT'!E$2:E$42))</f>
        <v>-0.35034036169178073</v>
      </c>
      <c r="F21">
        <f>STANDARDIZE('confronto CWT'!F21,AVERAGE('confronto CWT'!F$2:F$42),STDEV('confronto CWT'!F$2:F$42))</f>
        <v>0.58423789473096222</v>
      </c>
      <c r="G21">
        <f>STANDARDIZE('confronto CWT'!G21,AVERAGE('confronto CWT'!G$2:G$42),STDEV('confronto CWT'!G$2:G$42))</f>
        <v>-0.41993084877164089</v>
      </c>
      <c r="H21">
        <f>STANDARDIZE('confronto CWT'!H21,AVERAGE('confronto CWT'!H$2:H$42),STDEV('confronto CWT'!H$2:H$42))</f>
        <v>-0.18539247461019004</v>
      </c>
      <c r="I21">
        <f>STANDARDIZE('confronto CWT'!I21,AVERAGE('confronto CWT'!I$2:I$42),STDEV('confronto CWT'!I$2:I$42))</f>
        <v>0.17010275101631114</v>
      </c>
      <c r="J21">
        <f>STANDARDIZE('confronto CWT'!J21,AVERAGE('confronto CWT'!J$2:J$42),STDEV('confronto CWT'!J$2:J$42))</f>
        <v>-0.64225285701357937</v>
      </c>
      <c r="K21">
        <f>STANDARDIZE('confronto CWT'!K21,AVERAGE('confronto CWT'!K$2:K$42),STDEV('confronto CWT'!K$2:K$42))</f>
        <v>-0.50381094610487298</v>
      </c>
    </row>
    <row r="22" spans="1:11" x14ac:dyDescent="0.45">
      <c r="A22" s="1">
        <v>44075</v>
      </c>
      <c r="B22">
        <f>STANDARDIZE('confronto CWT'!B22,AVERAGE('confronto CWT'!B$2:B$42),STDEV('confronto CWT'!B$2:B$42))</f>
        <v>0.1440250289802727</v>
      </c>
      <c r="C22">
        <f>STANDARDIZE('confronto CWT'!C22,AVERAGE('confronto CWT'!C$2:C$42),STDEV('confronto CWT'!C$2:C$42))</f>
        <v>6.3120422463872256E-2</v>
      </c>
      <c r="D22">
        <f>STANDARDIZE('confronto CWT'!D22,AVERAGE('confronto CWT'!D$2:D$42),STDEV('confronto CWT'!D$2:D$42))</f>
        <v>-0.14521576796011348</v>
      </c>
      <c r="E22">
        <f>STANDARDIZE('confronto CWT'!E22,AVERAGE('confronto CWT'!E$2:E$42),STDEV('confronto CWT'!E$2:E$42))</f>
        <v>-0.1712198725517739</v>
      </c>
      <c r="F22">
        <f>STANDARDIZE('confronto CWT'!F22,AVERAGE('confronto CWT'!F$2:F$42),STDEV('confronto CWT'!F$2:F$42))</f>
        <v>0.53803653018513942</v>
      </c>
      <c r="G22">
        <f>STANDARDIZE('confronto CWT'!G22,AVERAGE('confronto CWT'!G$2:G$42),STDEV('confronto CWT'!G$2:G$42))</f>
        <v>-0.46027599112855483</v>
      </c>
      <c r="H22">
        <f>STANDARDIZE('confronto CWT'!H22,AVERAGE('confronto CWT'!H$2:H$42),STDEV('confronto CWT'!H$2:H$42))</f>
        <v>-0.10912598927403316</v>
      </c>
      <c r="I22">
        <f>STANDARDIZE('confronto CWT'!I22,AVERAGE('confronto CWT'!I$2:I$42),STDEV('confronto CWT'!I$2:I$42))</f>
        <v>0.57403318421540428</v>
      </c>
      <c r="J22">
        <f>STANDARDIZE('confronto CWT'!J22,AVERAGE('confronto CWT'!J$2:J$42),STDEV('confronto CWT'!J$2:J$42))</f>
        <v>-1.1060498639559978E-2</v>
      </c>
      <c r="K22">
        <f>STANDARDIZE('confronto CWT'!K22,AVERAGE('confronto CWT'!K$2:K$42),STDEV('confronto CWT'!K$2:K$42))</f>
        <v>0.25597242229459599</v>
      </c>
    </row>
    <row r="23" spans="1:11" x14ac:dyDescent="0.45">
      <c r="A23" s="1">
        <v>44105</v>
      </c>
      <c r="B23">
        <f>STANDARDIZE('confronto CWT'!B23,AVERAGE('confronto CWT'!B$2:B$42),STDEV('confronto CWT'!B$2:B$42))</f>
        <v>0.49669531899497865</v>
      </c>
      <c r="C23">
        <f>STANDARDIZE('confronto CWT'!C23,AVERAGE('confronto CWT'!C$2:C$42),STDEV('confronto CWT'!C$2:C$42))</f>
        <v>0.71801527062445392</v>
      </c>
      <c r="D23">
        <f>STANDARDIZE('confronto CWT'!D23,AVERAGE('confronto CWT'!D$2:D$42),STDEV('confronto CWT'!D$2:D$42))</f>
        <v>-0.14436325720393239</v>
      </c>
      <c r="E23">
        <f>STANDARDIZE('confronto CWT'!E23,AVERAGE('confronto CWT'!E$2:E$42),STDEV('confronto CWT'!E$2:E$42))</f>
        <v>0.95384461840778045</v>
      </c>
      <c r="F23">
        <f>STANDARDIZE('confronto CWT'!F23,AVERAGE('confronto CWT'!F$2:F$42),STDEV('confronto CWT'!F$2:F$42))</f>
        <v>0.74578232917902587</v>
      </c>
      <c r="G23">
        <f>STANDARDIZE('confronto CWT'!G23,AVERAGE('confronto CWT'!G$2:G$42),STDEV('confronto CWT'!G$2:G$42))</f>
        <v>0.7422881740079641</v>
      </c>
      <c r="H23">
        <f>STANDARDIZE('confronto CWT'!H23,AVERAGE('confronto CWT'!H$2:H$42),STDEV('confronto CWT'!H$2:H$42))</f>
        <v>0.72169087176508484</v>
      </c>
      <c r="I23">
        <f>STANDARDIZE('confronto CWT'!I23,AVERAGE('confronto CWT'!I$2:I$42),STDEV('confronto CWT'!I$2:I$42))</f>
        <v>1.1407828771058852</v>
      </c>
      <c r="J23">
        <f>STANDARDIZE('confronto CWT'!J23,AVERAGE('confronto CWT'!J$2:J$42),STDEV('confronto CWT'!J$2:J$42))</f>
        <v>1.0721075180911113</v>
      </c>
      <c r="K23">
        <f>STANDARDIZE('confronto CWT'!K23,AVERAGE('confronto CWT'!K$2:K$42),STDEV('confronto CWT'!K$2:K$42))</f>
        <v>1.0093827779367681</v>
      </c>
    </row>
    <row r="24" spans="1:11" x14ac:dyDescent="0.45">
      <c r="A24" s="1">
        <v>44136</v>
      </c>
      <c r="B24">
        <f>STANDARDIZE('confronto CWT'!B24,AVERAGE('confronto CWT'!B$2:B$42),STDEV('confronto CWT'!B$2:B$42))</f>
        <v>0.70505953962983337</v>
      </c>
      <c r="C24">
        <f>STANDARDIZE('confronto CWT'!C24,AVERAGE('confronto CWT'!C$2:C$42),STDEV('confronto CWT'!C$2:C$42))</f>
        <v>0.87023284500408449</v>
      </c>
      <c r="D24">
        <f>STANDARDIZE('confronto CWT'!D24,AVERAGE('confronto CWT'!D$2:D$42),STDEV('confronto CWT'!D$2:D$42))</f>
        <v>0.53494268537678291</v>
      </c>
      <c r="E24">
        <f>STANDARDIZE('confronto CWT'!E24,AVERAGE('confronto CWT'!E$2:E$42),STDEV('confronto CWT'!E$2:E$42))</f>
        <v>0.55696642544722585</v>
      </c>
      <c r="F24">
        <f>STANDARDIZE('confronto CWT'!F24,AVERAGE('confronto CWT'!F$2:F$42),STDEV('confronto CWT'!F$2:F$42))</f>
        <v>0.70881905191099659</v>
      </c>
      <c r="G24">
        <f>STANDARDIZE('confronto CWT'!G24,AVERAGE('confronto CWT'!G$2:G$42),STDEV('confronto CWT'!G$2:G$42))</f>
        <v>0.99503153857495352</v>
      </c>
      <c r="H24">
        <f>STANDARDIZE('confronto CWT'!H24,AVERAGE('confronto CWT'!H$2:H$42),STDEV('confronto CWT'!H$2:H$42))</f>
        <v>1.2923874862253584</v>
      </c>
      <c r="I24">
        <f>STANDARDIZE('confronto CWT'!I24,AVERAGE('confronto CWT'!I$2:I$42),STDEV('confronto CWT'!I$2:I$42))</f>
        <v>1.1871377799989733</v>
      </c>
      <c r="J24">
        <f>STANDARDIZE('confronto CWT'!J24,AVERAGE('confronto CWT'!J$2:J$42),STDEV('confronto CWT'!J$2:J$42))</f>
        <v>0.81500205132471848</v>
      </c>
      <c r="K24">
        <f>STANDARDIZE('confronto CWT'!K24,AVERAGE('confronto CWT'!K$2:K$42),STDEV('confronto CWT'!K$2:K$42))</f>
        <v>0.70176928048508935</v>
      </c>
    </row>
    <row r="25" spans="1:11" x14ac:dyDescent="0.45">
      <c r="A25" s="1">
        <v>44166</v>
      </c>
      <c r="B25">
        <f>STANDARDIZE('confronto CWT'!B25,AVERAGE('confronto CWT'!B$2:B$42),STDEV('confronto CWT'!B$2:B$42))</f>
        <v>0.34567348045067758</v>
      </c>
      <c r="C25">
        <f>STANDARDIZE('confronto CWT'!C25,AVERAGE('confronto CWT'!C$2:C$42),STDEV('confronto CWT'!C$2:C$42))</f>
        <v>0.2591086109056211</v>
      </c>
      <c r="D25">
        <f>STANDARDIZE('confronto CWT'!D25,AVERAGE('confronto CWT'!D$2:D$42),STDEV('confronto CWT'!D$2:D$42))</f>
        <v>0.25620953730549184</v>
      </c>
      <c r="E25">
        <f>STANDARDIZE('confronto CWT'!E25,AVERAGE('confronto CWT'!E$2:E$42),STDEV('confronto CWT'!E$2:E$42))</f>
        <v>2.4830867756204744E-2</v>
      </c>
      <c r="F25">
        <f>STANDARDIZE('confronto CWT'!F25,AVERAGE('confronto CWT'!F$2:F$42),STDEV('confronto CWT'!F$2:F$42))</f>
        <v>0.30740281876912245</v>
      </c>
      <c r="G25">
        <f>STANDARDIZE('confronto CWT'!G25,AVERAGE('confronto CWT'!G$2:G$42),STDEV('confronto CWT'!G$2:G$42))</f>
        <v>0.70653172083473303</v>
      </c>
      <c r="H25">
        <f>STANDARDIZE('confronto CWT'!H25,AVERAGE('confronto CWT'!H$2:H$42),STDEV('confronto CWT'!H$2:H$42))</f>
        <v>0.4054674580449068</v>
      </c>
      <c r="I25">
        <f>STANDARDIZE('confronto CWT'!I25,AVERAGE('confronto CWT'!I$2:I$42),STDEV('confronto CWT'!I$2:I$42))</f>
        <v>1.024390977446159</v>
      </c>
      <c r="J25">
        <f>STANDARDIZE('confronto CWT'!J25,AVERAGE('confronto CWT'!J$2:J$42),STDEV('confronto CWT'!J$2:J$42))</f>
        <v>0.59198219642597971</v>
      </c>
      <c r="K25">
        <f>STANDARDIZE('confronto CWT'!K25,AVERAGE('confronto CWT'!K$2:K$42),STDEV('confronto CWT'!K$2:K$42))</f>
        <v>5.3877949710720102E-2</v>
      </c>
    </row>
    <row r="26" spans="1:11" x14ac:dyDescent="0.45">
      <c r="A26" s="1">
        <v>44197</v>
      </c>
      <c r="B26">
        <f>STANDARDIZE('confronto CWT'!B26,AVERAGE('confronto CWT'!B$2:B$42),STDEV('confronto CWT'!B$2:B$42))</f>
        <v>0.26529498391158041</v>
      </c>
      <c r="C26">
        <f>STANDARDIZE('confronto CWT'!C26,AVERAGE('confronto CWT'!C$2:C$42),STDEV('confronto CWT'!C$2:C$42))</f>
        <v>4.1144953201755305E-2</v>
      </c>
      <c r="D26">
        <f>STANDARDIZE('confronto CWT'!D26,AVERAGE('confronto CWT'!D$2:D$42),STDEV('confronto CWT'!D$2:D$42))</f>
        <v>0.63810459687465981</v>
      </c>
      <c r="E26">
        <f>STANDARDIZE('confronto CWT'!E26,AVERAGE('confronto CWT'!E$2:E$42),STDEV('confronto CWT'!E$2:E$42))</f>
        <v>0.37116899052928076</v>
      </c>
      <c r="F26">
        <f>STANDARDIZE('confronto CWT'!F26,AVERAGE('confronto CWT'!F$2:F$42),STDEV('confronto CWT'!F$2:F$42))</f>
        <v>0.56208679072847734</v>
      </c>
      <c r="G26">
        <f>STANDARDIZE('confronto CWT'!G26,AVERAGE('confronto CWT'!G$2:G$42),STDEV('confronto CWT'!G$2:G$42))</f>
        <v>0.54100100080358304</v>
      </c>
      <c r="H26">
        <f>STANDARDIZE('confronto CWT'!H26,AVERAGE('confronto CWT'!H$2:H$42),STDEV('confronto CWT'!H$2:H$42))</f>
        <v>-8.1778893206892203E-2</v>
      </c>
      <c r="I26">
        <f>STANDARDIZE('confronto CWT'!I26,AVERAGE('confronto CWT'!I$2:I$42),STDEV('confronto CWT'!I$2:I$42))</f>
        <v>0.31813642906553435</v>
      </c>
      <c r="J26">
        <f>STANDARDIZE('confronto CWT'!J26,AVERAGE('confronto CWT'!J$2:J$42),STDEV('confronto CWT'!J$2:J$42))</f>
        <v>-0.1011185844745997</v>
      </c>
      <c r="K26">
        <f>STANDARDIZE('confronto CWT'!K26,AVERAGE('confronto CWT'!K$2:K$42),STDEV('confronto CWT'!K$2:K$42))</f>
        <v>-0.54328502699434755</v>
      </c>
    </row>
    <row r="27" spans="1:11" x14ac:dyDescent="0.45">
      <c r="A27" s="1">
        <v>44228</v>
      </c>
      <c r="B27">
        <f>STANDARDIZE('confronto CWT'!B27,AVERAGE('confronto CWT'!B$2:B$42),STDEV('confronto CWT'!B$2:B$42))</f>
        <v>0.24311384201303832</v>
      </c>
      <c r="C27">
        <f>STANDARDIZE('confronto CWT'!C27,AVERAGE('confronto CWT'!C$2:C$42),STDEV('confronto CWT'!C$2:C$42))</f>
        <v>0.33871518044834242</v>
      </c>
      <c r="D27">
        <f>STANDARDIZE('confronto CWT'!D27,AVERAGE('confronto CWT'!D$2:D$42),STDEV('confronto CWT'!D$2:D$42))</f>
        <v>0.49123083691456015</v>
      </c>
      <c r="E27">
        <f>STANDARDIZE('confronto CWT'!E27,AVERAGE('confronto CWT'!E$2:E$42),STDEV('confronto CWT'!E$2:E$42))</f>
        <v>0.76192102834105391</v>
      </c>
      <c r="F27">
        <f>STANDARDIZE('confronto CWT'!F27,AVERAGE('confronto CWT'!F$2:F$42),STDEV('confronto CWT'!F$2:F$42))</f>
        <v>-5.755416151735461E-2</v>
      </c>
      <c r="G27">
        <f>STANDARDIZE('confronto CWT'!G27,AVERAGE('confronto CWT'!G$2:G$42),STDEV('confronto CWT'!G$2:G$42))</f>
        <v>0.36734584035243939</v>
      </c>
      <c r="H27">
        <f>STANDARDIZE('confronto CWT'!H27,AVERAGE('confronto CWT'!H$2:H$42),STDEV('confronto CWT'!H$2:H$42))</f>
        <v>0.45648409747804675</v>
      </c>
      <c r="I27">
        <f>STANDARDIZE('confronto CWT'!I27,AVERAGE('confronto CWT'!I$2:I$42),STDEV('confronto CWT'!I$2:I$42))</f>
        <v>0.13453500194351944</v>
      </c>
      <c r="J27">
        <f>STANDARDIZE('confronto CWT'!J27,AVERAGE('confronto CWT'!J$2:J$42),STDEV('confronto CWT'!J$2:J$42))</f>
        <v>0.4990205755007644</v>
      </c>
      <c r="K27">
        <f>STANDARDIZE('confronto CWT'!K27,AVERAGE('confronto CWT'!K$2:K$42),STDEV('confronto CWT'!K$2:K$42))</f>
        <v>-0.66162398651346843</v>
      </c>
    </row>
    <row r="28" spans="1:11" x14ac:dyDescent="0.45">
      <c r="A28" s="1">
        <v>44256</v>
      </c>
      <c r="B28">
        <f>STANDARDIZE('confronto CWT'!B28,AVERAGE('confronto CWT'!B$2:B$42),STDEV('confronto CWT'!B$2:B$42))</f>
        <v>0.40804784010639578</v>
      </c>
      <c r="C28">
        <f>STANDARDIZE('confronto CWT'!C28,AVERAGE('confronto CWT'!C$2:C$42),STDEV('confronto CWT'!C$2:C$42))</f>
        <v>-7.1804881740769641E-2</v>
      </c>
      <c r="D28">
        <f>STANDARDIZE('confronto CWT'!D28,AVERAGE('confronto CWT'!D$2:D$42),STDEV('confronto CWT'!D$2:D$42))</f>
        <v>0.30590005557717359</v>
      </c>
      <c r="E28">
        <f>STANDARDIZE('confronto CWT'!E28,AVERAGE('confronto CWT'!E$2:E$42),STDEV('confronto CWT'!E$2:E$42))</f>
        <v>9.5795692543793762E-2</v>
      </c>
      <c r="F28">
        <f>STANDARDIZE('confronto CWT'!F28,AVERAGE('confronto CWT'!F$2:F$42),STDEV('confronto CWT'!F$2:F$42))</f>
        <v>0.21336046572518061</v>
      </c>
      <c r="G28">
        <f>STANDARDIZE('confronto CWT'!G28,AVERAGE('confronto CWT'!G$2:G$42),STDEV('confronto CWT'!G$2:G$42))</f>
        <v>0.7241868024577095</v>
      </c>
      <c r="H28">
        <f>STANDARDIZE('confronto CWT'!H28,AVERAGE('confronto CWT'!H$2:H$42),STDEV('confronto CWT'!H$2:H$42))</f>
        <v>0.17377391967050509</v>
      </c>
      <c r="I28">
        <f>STANDARDIZE('confronto CWT'!I28,AVERAGE('confronto CWT'!I$2:I$42),STDEV('confronto CWT'!I$2:I$42))</f>
        <v>-0.16856907135266455</v>
      </c>
      <c r="J28">
        <f>STANDARDIZE('confronto CWT'!J28,AVERAGE('confronto CWT'!J$2:J$42),STDEV('confronto CWT'!J$2:J$42))</f>
        <v>-0.8649299732202923</v>
      </c>
      <c r="K28">
        <f>STANDARDIZE('confronto CWT'!K28,AVERAGE('confronto CWT'!K$2:K$42),STDEV('confronto CWT'!K$2:K$42))</f>
        <v>5.1163739706462319E-2</v>
      </c>
    </row>
    <row r="29" spans="1:11" x14ac:dyDescent="0.45">
      <c r="A29" s="1">
        <v>44287</v>
      </c>
      <c r="B29">
        <f>STANDARDIZE('confronto CWT'!B29,AVERAGE('confronto CWT'!B$2:B$42),STDEV('confronto CWT'!B$2:B$42))</f>
        <v>5.8619160674300758E-2</v>
      </c>
      <c r="C29">
        <f>STANDARDIZE('confronto CWT'!C29,AVERAGE('confronto CWT'!C$2:C$42),STDEV('confronto CWT'!C$2:C$42))</f>
        <v>0.43711156595298672</v>
      </c>
      <c r="D29">
        <f>STANDARDIZE('confronto CWT'!D29,AVERAGE('confronto CWT'!D$2:D$42),STDEV('confronto CWT'!D$2:D$42))</f>
        <v>7.1647078629908573E-2</v>
      </c>
      <c r="E29">
        <f>STANDARDIZE('confronto CWT'!E29,AVERAGE('confronto CWT'!E$2:E$42),STDEV('confronto CWT'!E$2:E$42))</f>
        <v>0.47292958330998763</v>
      </c>
      <c r="F29">
        <f>STANDARDIZE('confronto CWT'!F29,AVERAGE('confronto CWT'!F$2:F$42),STDEV('confronto CWT'!F$2:F$42))</f>
        <v>0.53177628683098699</v>
      </c>
      <c r="G29">
        <f>STANDARDIZE('confronto CWT'!G29,AVERAGE('confronto CWT'!G$2:G$42),STDEV('confronto CWT'!G$2:G$42))</f>
        <v>-0.61732132449521093</v>
      </c>
      <c r="H29">
        <f>STANDARDIZE('confronto CWT'!H29,AVERAGE('confronto CWT'!H$2:H$42),STDEV('confronto CWT'!H$2:H$42))</f>
        <v>-2.6889814307934028</v>
      </c>
      <c r="I29">
        <f>STANDARDIZE('confronto CWT'!I29,AVERAGE('confronto CWT'!I$2:I$42),STDEV('confronto CWT'!I$2:I$42))</f>
        <v>0.69574692102254965</v>
      </c>
      <c r="J29">
        <f>STANDARDIZE('confronto CWT'!J29,AVERAGE('confronto CWT'!J$2:J$42),STDEV('confronto CWT'!J$2:J$42))</f>
        <v>-0.50720622847817631</v>
      </c>
      <c r="K29">
        <f>STANDARDIZE('confronto CWT'!K29,AVERAGE('confronto CWT'!K$2:K$42),STDEV('confronto CWT'!K$2:K$42))</f>
        <v>0.27079507849522055</v>
      </c>
    </row>
    <row r="30" spans="1:11" x14ac:dyDescent="0.45">
      <c r="A30" s="1">
        <v>44317</v>
      </c>
      <c r="B30">
        <f>STANDARDIZE('confronto CWT'!B30,AVERAGE('confronto CWT'!B$2:B$42),STDEV('confronto CWT'!B$2:B$42))</f>
        <v>0.44911725226710036</v>
      </c>
      <c r="C30">
        <f>STANDARDIZE('confronto CWT'!C30,AVERAGE('confronto CWT'!C$2:C$42),STDEV('confronto CWT'!C$2:C$42))</f>
        <v>0.52220052135566997</v>
      </c>
      <c r="D30">
        <f>STANDARDIZE('confronto CWT'!D30,AVERAGE('confronto CWT'!D$2:D$42),STDEV('confronto CWT'!D$2:D$42))</f>
        <v>0.45363537923531316</v>
      </c>
      <c r="E30">
        <f>STANDARDIZE('confronto CWT'!E30,AVERAGE('confronto CWT'!E$2:E$42),STDEV('confronto CWT'!E$2:E$42))</f>
        <v>1.1074271548339492</v>
      </c>
      <c r="F30">
        <f>STANDARDIZE('confronto CWT'!F30,AVERAGE('confronto CWT'!F$2:F$42),STDEV('confronto CWT'!F$2:F$42))</f>
        <v>0.54265057494880808</v>
      </c>
      <c r="G30">
        <f>STANDARDIZE('confronto CWT'!G30,AVERAGE('confronto CWT'!G$2:G$42),STDEV('confronto CWT'!G$2:G$42))</f>
        <v>-1.2758200380048907</v>
      </c>
      <c r="H30">
        <f>STANDARDIZE('confronto CWT'!H30,AVERAGE('confronto CWT'!H$2:H$42),STDEV('confronto CWT'!H$2:H$42))</f>
        <v>-1.1643441413980335</v>
      </c>
      <c r="I30">
        <f>STANDARDIZE('confronto CWT'!I30,AVERAGE('confronto CWT'!I$2:I$42),STDEV('confronto CWT'!I$2:I$42))</f>
        <v>0.55491333910942553</v>
      </c>
      <c r="J30">
        <f>STANDARDIZE('confronto CWT'!J30,AVERAGE('confronto CWT'!J$2:J$42),STDEV('confronto CWT'!J$2:J$42))</f>
        <v>0.12434280052289119</v>
      </c>
      <c r="K30">
        <f>STANDARDIZE('confronto CWT'!K30,AVERAGE('confronto CWT'!K$2:K$42),STDEV('confronto CWT'!K$2:K$42))</f>
        <v>0.56592770040193963</v>
      </c>
    </row>
    <row r="31" spans="1:11" x14ac:dyDescent="0.45">
      <c r="A31" s="1">
        <v>44348</v>
      </c>
      <c r="B31">
        <f>STANDARDIZE('confronto CWT'!B31,AVERAGE('confronto CWT'!B$2:B$42),STDEV('confronto CWT'!B$2:B$42))</f>
        <v>0.38235152890432472</v>
      </c>
      <c r="C31">
        <f>STANDARDIZE('confronto CWT'!C31,AVERAGE('confronto CWT'!C$2:C$42),STDEV('confronto CWT'!C$2:C$42))</f>
        <v>0.51959233681866002</v>
      </c>
      <c r="D31">
        <f>STANDARDIZE('confronto CWT'!D31,AVERAGE('confronto CWT'!D$2:D$42),STDEV('confronto CWT'!D$2:D$42))</f>
        <v>0.66188111934055738</v>
      </c>
      <c r="E31">
        <f>STANDARDIZE('confronto CWT'!E31,AVERAGE('confronto CWT'!E$2:E$42),STDEV('confronto CWT'!E$2:E$42))</f>
        <v>0.80957870487326156</v>
      </c>
      <c r="F31">
        <f>STANDARDIZE('confronto CWT'!F31,AVERAGE('confronto CWT'!F$2:F$42),STDEV('confronto CWT'!F$2:F$42))</f>
        <v>0.76602326622992889</v>
      </c>
      <c r="G31">
        <f>STANDARDIZE('confronto CWT'!G31,AVERAGE('confronto CWT'!G$2:G$42),STDEV('confronto CWT'!G$2:G$42))</f>
        <v>0.13727863186372699</v>
      </c>
      <c r="H31">
        <f>STANDARDIZE('confronto CWT'!H31,AVERAGE('confronto CWT'!H$2:H$42),STDEV('confronto CWT'!H$2:H$42))</f>
        <v>-0.60980874989331002</v>
      </c>
      <c r="I31">
        <f>STANDARDIZE('confronto CWT'!I31,AVERAGE('confronto CWT'!I$2:I$42),STDEV('confronto CWT'!I$2:I$42))</f>
        <v>0.54783973085217708</v>
      </c>
      <c r="J31">
        <f>STANDARDIZE('confronto CWT'!J31,AVERAGE('confronto CWT'!J$2:J$42),STDEV('confronto CWT'!J$2:J$42))</f>
        <v>0.46112589027650686</v>
      </c>
      <c r="K31">
        <f>STANDARDIZE('confronto CWT'!K31,AVERAGE('confronto CWT'!K$2:K$42),STDEV('confronto CWT'!K$2:K$42))</f>
        <v>0.34838731806234902</v>
      </c>
    </row>
    <row r="32" spans="1:11" x14ac:dyDescent="0.45">
      <c r="A32" s="1">
        <v>44378</v>
      </c>
      <c r="B32">
        <f>STANDARDIZE('confronto CWT'!B32,AVERAGE('confronto CWT'!B$2:B$42),STDEV('confronto CWT'!B$2:B$42))</f>
        <v>0.55741576125003589</v>
      </c>
      <c r="C32">
        <f>STANDARDIZE('confronto CWT'!C32,AVERAGE('confronto CWT'!C$2:C$42),STDEV('confronto CWT'!C$2:C$42))</f>
        <v>0.4981897454160617</v>
      </c>
      <c r="D32">
        <f>STANDARDIZE('confronto CWT'!D32,AVERAGE('confronto CWT'!D$2:D$42),STDEV('confronto CWT'!D$2:D$42))</f>
        <v>0.55427134441454251</v>
      </c>
      <c r="E32">
        <f>STANDARDIZE('confronto CWT'!E32,AVERAGE('confronto CWT'!E$2:E$42),STDEV('confronto CWT'!E$2:E$42))</f>
        <v>0.71661808448803122</v>
      </c>
      <c r="F32">
        <f>STANDARDIZE('confronto CWT'!F32,AVERAGE('confronto CWT'!F$2:F$42),STDEV('confronto CWT'!F$2:F$42))</f>
        <v>0.62136410446522872</v>
      </c>
      <c r="G32">
        <f>STANDARDIZE('confronto CWT'!G32,AVERAGE('confronto CWT'!G$2:G$42),STDEV('confronto CWT'!G$2:G$42))</f>
        <v>0.24261917136567795</v>
      </c>
      <c r="H32">
        <f>STANDARDIZE('confronto CWT'!H32,AVERAGE('confronto CWT'!H$2:H$42),STDEV('confronto CWT'!H$2:H$42))</f>
        <v>-0.40734226136533619</v>
      </c>
      <c r="I32">
        <f>STANDARDIZE('confronto CWT'!I32,AVERAGE('confronto CWT'!I$2:I$42),STDEV('confronto CWT'!I$2:I$42))</f>
        <v>0.9439753973976539</v>
      </c>
      <c r="J32">
        <f>STANDARDIZE('confronto CWT'!J32,AVERAGE('confronto CWT'!J$2:J$42),STDEV('confronto CWT'!J$2:J$42))</f>
        <v>0.56381410563355461</v>
      </c>
      <c r="K32">
        <f>STANDARDIZE('confronto CWT'!K32,AVERAGE('confronto CWT'!K$2:K$42),STDEV('confronto CWT'!K$2:K$42))</f>
        <v>-2.6424542716315607</v>
      </c>
    </row>
    <row r="33" spans="1:11" x14ac:dyDescent="0.45">
      <c r="A33" s="1">
        <v>44409</v>
      </c>
      <c r="B33">
        <f>STANDARDIZE('confronto CWT'!B33,AVERAGE('confronto CWT'!B$2:B$42),STDEV('confronto CWT'!B$2:B$42))</f>
        <v>0.60499975834458153</v>
      </c>
      <c r="C33">
        <f>STANDARDIZE('confronto CWT'!C33,AVERAGE('confronto CWT'!C$2:C$42),STDEV('confronto CWT'!C$2:C$42))</f>
        <v>0.4885478595340173</v>
      </c>
      <c r="D33">
        <f>STANDARDIZE('confronto CWT'!D33,AVERAGE('confronto CWT'!D$2:D$42),STDEV('confronto CWT'!D$2:D$42))</f>
        <v>0.23328421748018505</v>
      </c>
      <c r="E33">
        <f>STANDARDIZE('confronto CWT'!E33,AVERAGE('confronto CWT'!E$2:E$42),STDEV('confronto CWT'!E$2:E$42))</f>
        <v>0.80543066377725303</v>
      </c>
      <c r="F33">
        <f>STANDARDIZE('confronto CWT'!F33,AVERAGE('confronto CWT'!F$2:F$42),STDEV('confronto CWT'!F$2:F$42))</f>
        <v>0.80234615737757642</v>
      </c>
      <c r="G33">
        <f>STANDARDIZE('confronto CWT'!G33,AVERAGE('confronto CWT'!G$2:G$42),STDEV('confronto CWT'!G$2:G$42))</f>
        <v>0.88307718060893181</v>
      </c>
      <c r="H33">
        <f>STANDARDIZE('confronto CWT'!H33,AVERAGE('confronto CWT'!H$2:H$42),STDEV('confronto CWT'!H$2:H$42))</f>
        <v>0.55741084189997803</v>
      </c>
      <c r="I33">
        <f>STANDARDIZE('confronto CWT'!I33,AVERAGE('confronto CWT'!I$2:I$42),STDEV('confronto CWT'!I$2:I$42))</f>
        <v>0.78190533388634098</v>
      </c>
      <c r="J33">
        <f>STANDARDIZE('confronto CWT'!J33,AVERAGE('confronto CWT'!J$2:J$42),STDEV('confronto CWT'!J$2:J$42))</f>
        <v>0.9551041597759955</v>
      </c>
      <c r="K33">
        <f>STANDARDIZE('confronto CWT'!K33,AVERAGE('confronto CWT'!K$2:K$42),STDEV('confronto CWT'!K$2:K$42))</f>
        <v>0.81276349430077899</v>
      </c>
    </row>
    <row r="34" spans="1:11" x14ac:dyDescent="0.45">
      <c r="A34" s="1">
        <v>44440</v>
      </c>
      <c r="B34">
        <f>STANDARDIZE('confronto CWT'!B34,AVERAGE('confronto CWT'!B$2:B$42),STDEV('confronto CWT'!B$2:B$42))</f>
        <v>0.53331360546657725</v>
      </c>
      <c r="C34">
        <f>STANDARDIZE('confronto CWT'!C34,AVERAGE('confronto CWT'!C$2:C$42),STDEV('confronto CWT'!C$2:C$42))</f>
        <v>0.57298297163731793</v>
      </c>
      <c r="D34">
        <f>STANDARDIZE('confronto CWT'!D34,AVERAGE('confronto CWT'!D$2:D$42),STDEV('confronto CWT'!D$2:D$42))</f>
        <v>0.77541463332735716</v>
      </c>
      <c r="E34">
        <f>STANDARDIZE('confronto CWT'!E34,AVERAGE('confronto CWT'!E$2:E$42),STDEV('confronto CWT'!E$2:E$42))</f>
        <v>0.674223421619497</v>
      </c>
      <c r="F34">
        <f>STANDARDIZE('confronto CWT'!F34,AVERAGE('confronto CWT'!F$2:F$42),STDEV('confronto CWT'!F$2:F$42))</f>
        <v>0.55801285957152802</v>
      </c>
      <c r="G34">
        <f>STANDARDIZE('confronto CWT'!G34,AVERAGE('confronto CWT'!G$2:G$42),STDEV('confronto CWT'!G$2:G$42))</f>
        <v>0.870367468100676</v>
      </c>
      <c r="H34">
        <f>STANDARDIZE('confronto CWT'!H34,AVERAGE('confronto CWT'!H$2:H$42),STDEV('confronto CWT'!H$2:H$42))</f>
        <v>0.55568222190796412</v>
      </c>
      <c r="I34">
        <f>STANDARDIZE('confronto CWT'!I34,AVERAGE('confronto CWT'!I$2:I$42),STDEV('confronto CWT'!I$2:I$42))</f>
        <v>0.12523633893143443</v>
      </c>
      <c r="J34">
        <f>STANDARDIZE('confronto CWT'!J34,AVERAGE('confronto CWT'!J$2:J$42),STDEV('confronto CWT'!J$2:J$42))</f>
        <v>0.68956539870313927</v>
      </c>
      <c r="K34">
        <f>STANDARDIZE('confronto CWT'!K34,AVERAGE('confronto CWT'!K$2:K$42),STDEV('confronto CWT'!K$2:K$42))</f>
        <v>0.55759798154174545</v>
      </c>
    </row>
    <row r="35" spans="1:11" x14ac:dyDescent="0.45">
      <c r="A35" s="1">
        <v>44470</v>
      </c>
      <c r="B35">
        <f>STANDARDIZE('confronto CWT'!B35,AVERAGE('confronto CWT'!B$2:B$42),STDEV('confronto CWT'!B$2:B$42))</f>
        <v>0.54934115922265747</v>
      </c>
      <c r="C35">
        <f>STANDARDIZE('confronto CWT'!C35,AVERAGE('confronto CWT'!C$2:C$42),STDEV('confronto CWT'!C$2:C$42))</f>
        <v>0.80574103208583236</v>
      </c>
      <c r="D35">
        <f>STANDARDIZE('confronto CWT'!D35,AVERAGE('confronto CWT'!D$2:D$42),STDEV('confronto CWT'!D$2:D$42))</f>
        <v>0.71210938109257749</v>
      </c>
      <c r="E35">
        <f>STANDARDIZE('confronto CWT'!E35,AVERAGE('confronto CWT'!E$2:E$42),STDEV('confronto CWT'!E$2:E$42))</f>
        <v>0.85441061218237579</v>
      </c>
      <c r="F35">
        <f>STANDARDIZE('confronto CWT'!F35,AVERAGE('confronto CWT'!F$2:F$42),STDEV('confronto CWT'!F$2:F$42))</f>
        <v>0.67624030648260369</v>
      </c>
      <c r="G35">
        <f>STANDARDIZE('confronto CWT'!G35,AVERAGE('confronto CWT'!G$2:G$42),STDEV('confronto CWT'!G$2:G$42))</f>
        <v>0.82775241099049746</v>
      </c>
      <c r="H35">
        <f>STANDARDIZE('confronto CWT'!H35,AVERAGE('confronto CWT'!H$2:H$42),STDEV('confronto CWT'!H$2:H$42))</f>
        <v>-0.81386858822973429</v>
      </c>
      <c r="I35">
        <f>STANDARDIZE('confronto CWT'!I35,AVERAGE('confronto CWT'!I$2:I$42),STDEV('confronto CWT'!I$2:I$42))</f>
        <v>0.71643144432251027</v>
      </c>
      <c r="J35">
        <f>STANDARDIZE('confronto CWT'!J35,AVERAGE('confronto CWT'!J$2:J$42),STDEV('confronto CWT'!J$2:J$42))</f>
        <v>0.2961368809926197</v>
      </c>
      <c r="K35">
        <f>STANDARDIZE('confronto CWT'!K35,AVERAGE('confronto CWT'!K$2:K$42),STDEV('confronto CWT'!K$2:K$42))</f>
        <v>0.8769216167651287</v>
      </c>
    </row>
    <row r="36" spans="1:11" x14ac:dyDescent="0.45">
      <c r="A36" s="1">
        <v>44501</v>
      </c>
      <c r="B36">
        <f>STANDARDIZE('confronto CWT'!B36,AVERAGE('confronto CWT'!B$2:B$42),STDEV('confronto CWT'!B$2:B$42))</f>
        <v>0.4481942188454619</v>
      </c>
      <c r="C36">
        <f>STANDARDIZE('confronto CWT'!C36,AVERAGE('confronto CWT'!C$2:C$42),STDEV('confronto CWT'!C$2:C$42))</f>
        <v>0.91811864872560334</v>
      </c>
      <c r="D36">
        <f>STANDARDIZE('confronto CWT'!D36,AVERAGE('confronto CWT'!D$2:D$42),STDEV('confronto CWT'!D$2:D$42))</f>
        <v>0.67896703504366174</v>
      </c>
      <c r="E36">
        <f>STANDARDIZE('confronto CWT'!E36,AVERAGE('confronto CWT'!E$2:E$42),STDEV('confronto CWT'!E$2:E$42))</f>
        <v>1.0087061002407645</v>
      </c>
      <c r="F36">
        <f>STANDARDIZE('confronto CWT'!F36,AVERAGE('confronto CWT'!F$2:F$42),STDEV('confronto CWT'!F$2:F$42))</f>
        <v>0.64569716648127196</v>
      </c>
      <c r="G36">
        <f>STANDARDIZE('confronto CWT'!G36,AVERAGE('confronto CWT'!G$2:G$42),STDEV('confronto CWT'!G$2:G$42))</f>
        <v>0.90656971251542673</v>
      </c>
      <c r="H36">
        <f>STANDARDIZE('confronto CWT'!H36,AVERAGE('confronto CWT'!H$2:H$42),STDEV('confronto CWT'!H$2:H$42))</f>
        <v>-0.72690553867918639</v>
      </c>
      <c r="I36">
        <f>STANDARDIZE('confronto CWT'!I36,AVERAGE('confronto CWT'!I$2:I$42),STDEV('confronto CWT'!I$2:I$42))</f>
        <v>0.95660974646818686</v>
      </c>
      <c r="J36">
        <f>STANDARDIZE('confronto CWT'!J36,AVERAGE('confronto CWT'!J$2:J$42),STDEV('confronto CWT'!J$2:J$42))</f>
        <v>1.0625224535035114</v>
      </c>
      <c r="K36">
        <f>STANDARDIZE('confronto CWT'!K36,AVERAGE('confronto CWT'!K$2:K$42),STDEV('confronto CWT'!K$2:K$42))</f>
        <v>-1.6226724873993106</v>
      </c>
    </row>
    <row r="37" spans="1:11" x14ac:dyDescent="0.45">
      <c r="A37" s="1">
        <v>44531</v>
      </c>
      <c r="B37">
        <f>STANDARDIZE('confronto CWT'!B37,AVERAGE('confronto CWT'!B$2:B$42),STDEV('confronto CWT'!B$2:B$42))</f>
        <v>0.33456055714667982</v>
      </c>
      <c r="C37">
        <f>STANDARDIZE('confronto CWT'!C37,AVERAGE('confronto CWT'!C$2:C$42),STDEV('confronto CWT'!C$2:C$42))</f>
        <v>0.7659524583695414</v>
      </c>
      <c r="D37">
        <f>STANDARDIZE('confronto CWT'!D37,AVERAGE('confronto CWT'!D$2:D$42),STDEV('confronto CWT'!D$2:D$42))</f>
        <v>0.76932118480999834</v>
      </c>
      <c r="E37">
        <f>STANDARDIZE('confronto CWT'!E37,AVERAGE('confronto CWT'!E$2:E$42),STDEV('confronto CWT'!E$2:E$42))</f>
        <v>0.77269682991360922</v>
      </c>
      <c r="F37">
        <f>STANDARDIZE('confronto CWT'!F37,AVERAGE('confronto CWT'!F$2:F$42),STDEV('confronto CWT'!F$2:F$42))</f>
        <v>0.60714391424853364</v>
      </c>
      <c r="G37">
        <f>STANDARDIZE('confronto CWT'!G37,AVERAGE('confronto CWT'!G$2:G$42),STDEV('confronto CWT'!G$2:G$42))</f>
        <v>0.97700120127527001</v>
      </c>
      <c r="H37">
        <f>STANDARDIZE('confronto CWT'!H37,AVERAGE('confronto CWT'!H$2:H$42),STDEV('confronto CWT'!H$2:H$42))</f>
        <v>0.20876234022431397</v>
      </c>
      <c r="I37">
        <f>STANDARDIZE('confronto CWT'!I37,AVERAGE('confronto CWT'!I$2:I$42),STDEV('confronto CWT'!I$2:I$42))</f>
        <v>0.81480607418194362</v>
      </c>
      <c r="J37">
        <f>STANDARDIZE('confronto CWT'!J37,AVERAGE('confronto CWT'!J$2:J$42),STDEV('confronto CWT'!J$2:J$42))</f>
        <v>1.1708887159474006</v>
      </c>
      <c r="K37">
        <f>STANDARDIZE('confronto CWT'!K37,AVERAGE('confronto CWT'!K$2:K$42),STDEV('confronto CWT'!K$2:K$42))</f>
        <v>-0.84700397855629039</v>
      </c>
    </row>
    <row r="38" spans="1:11" x14ac:dyDescent="0.45">
      <c r="A38" s="1">
        <v>44562</v>
      </c>
      <c r="B38">
        <f>STANDARDIZE('confronto CWT'!B38,AVERAGE('confronto CWT'!B$2:B$42),STDEV('confronto CWT'!B$2:B$42))</f>
        <v>2.3721159306918035E-2</v>
      </c>
      <c r="C38">
        <f>STANDARDIZE('confronto CWT'!C38,AVERAGE('confronto CWT'!C$2:C$42),STDEV('confronto CWT'!C$2:C$42))</f>
        <v>0.79895678739049514</v>
      </c>
      <c r="D38">
        <f>STANDARDIZE('confronto CWT'!D38,AVERAGE('confronto CWT'!D$2:D$42),STDEV('confronto CWT'!D$2:D$42))</f>
        <v>0.8512452662036295</v>
      </c>
      <c r="E38">
        <f>STANDARDIZE('confronto CWT'!E38,AVERAGE('confronto CWT'!E$2:E$42),STDEV('confronto CWT'!E$2:E$42))</f>
        <v>0.57558785398172452</v>
      </c>
      <c r="F38">
        <f>STANDARDIZE('confronto CWT'!F38,AVERAGE('confronto CWT'!F$2:F$42),STDEV('confronto CWT'!F$2:F$42))</f>
        <v>0.38285924535825616</v>
      </c>
      <c r="G38">
        <f>STANDARDIZE('confronto CWT'!G38,AVERAGE('confronto CWT'!G$2:G$42),STDEV('confronto CWT'!G$2:G$42))</f>
        <v>1.0374251194646258</v>
      </c>
      <c r="H38">
        <f>STANDARDIZE('confronto CWT'!H38,AVERAGE('confronto CWT'!H$2:H$42),STDEV('confronto CWT'!H$2:H$42))</f>
        <v>0.60038863824293187</v>
      </c>
      <c r="I38">
        <f>STANDARDIZE('confronto CWT'!I38,AVERAGE('confronto CWT'!I$2:I$42),STDEV('confronto CWT'!I$2:I$42))</f>
        <v>0.97259752957222745</v>
      </c>
      <c r="J38">
        <f>STANDARDIZE('confronto CWT'!J38,AVERAGE('confronto CWT'!J$2:J$42),STDEV('confronto CWT'!J$2:J$42))</f>
        <v>1.0574113787295774</v>
      </c>
      <c r="K38">
        <f>STANDARDIZE('confronto CWT'!K38,AVERAGE('confronto CWT'!K$2:K$42),STDEV('confronto CWT'!K$2:K$42))</f>
        <v>0.5469921475794981</v>
      </c>
    </row>
    <row r="39" spans="1:11" x14ac:dyDescent="0.45">
      <c r="A39" s="1">
        <v>44593</v>
      </c>
      <c r="B39">
        <f>STANDARDIZE('confronto CWT'!B39,AVERAGE('confronto CWT'!B$2:B$42),STDEV('confronto CWT'!B$2:B$42))</f>
        <v>-2.1131386495266513</v>
      </c>
      <c r="C39">
        <f>STANDARDIZE('confronto CWT'!C39,AVERAGE('confronto CWT'!C$2:C$42),STDEV('confronto CWT'!C$2:C$42))</f>
        <v>0.61407780327133299</v>
      </c>
      <c r="D39">
        <f>STANDARDIZE('confronto CWT'!D39,AVERAGE('confronto CWT'!D$2:D$42),STDEV('confronto CWT'!D$2:D$42))</f>
        <v>0.5138210382313404</v>
      </c>
      <c r="E39">
        <f>STANDARDIZE('confronto CWT'!E39,AVERAGE('confronto CWT'!E$2:E$42),STDEV('confronto CWT'!E$2:E$42))</f>
        <v>0.86198030339655385</v>
      </c>
      <c r="F39">
        <f>STANDARDIZE('confronto CWT'!F39,AVERAGE('confronto CWT'!F$2:F$42),STDEV('confronto CWT'!F$2:F$42))</f>
        <v>0.76025229045762366</v>
      </c>
      <c r="G39">
        <f>STANDARDIZE('confronto CWT'!G39,AVERAGE('confronto CWT'!G$2:G$42),STDEV('confronto CWT'!G$2:G$42))</f>
        <v>0.83076436739931703</v>
      </c>
      <c r="H39">
        <f>STANDARDIZE('confronto CWT'!H39,AVERAGE('confronto CWT'!H$2:H$42),STDEV('confronto CWT'!H$2:H$42))</f>
        <v>0.31265987545292578</v>
      </c>
      <c r="I39">
        <f>STANDARDIZE('confronto CWT'!I39,AVERAGE('confronto CWT'!I$2:I$42),STDEV('confronto CWT'!I$2:I$42))</f>
        <v>0.90048704764980159</v>
      </c>
      <c r="J39">
        <f>STANDARDIZE('confronto CWT'!J39,AVERAGE('confronto CWT'!J$2:J$42),STDEV('confronto CWT'!J$2:J$42))</f>
        <v>0.74024904187665375</v>
      </c>
      <c r="K39">
        <f>STANDARDIZE('confronto CWT'!K39,AVERAGE('confronto CWT'!K$2:K$42),STDEV('confronto CWT'!K$2:K$42))</f>
        <v>0.70569763128391072</v>
      </c>
    </row>
    <row r="40" spans="1:11" x14ac:dyDescent="0.45">
      <c r="A40" s="1">
        <v>44621</v>
      </c>
      <c r="B40">
        <f>STANDARDIZE('confronto CWT'!B40,AVERAGE('confronto CWT'!B$2:B$42),STDEV('confronto CWT'!B$2:B$42))</f>
        <v>-4.5915490687300595</v>
      </c>
      <c r="C40">
        <f>STANDARDIZE('confronto CWT'!C40,AVERAGE('confronto CWT'!C$2:C$42),STDEV('confronto CWT'!C$2:C$42))</f>
        <v>0.1031252554587328</v>
      </c>
      <c r="D40">
        <f>STANDARDIZE('confronto CWT'!D40,AVERAGE('confronto CWT'!D$2:D$42),STDEV('confronto CWT'!D$2:D$42))</f>
        <v>0.19457325343563936</v>
      </c>
      <c r="E40">
        <f>STANDARDIZE('confronto CWT'!E40,AVERAGE('confronto CWT'!E$2:E$42),STDEV('confronto CWT'!E$2:E$42))</f>
        <v>0.31582459169985511</v>
      </c>
      <c r="F40">
        <f>STANDARDIZE('confronto CWT'!F40,AVERAGE('confronto CWT'!F$2:F$42),STDEV('confronto CWT'!F$2:F$42))</f>
        <v>5.7028681301131173E-2</v>
      </c>
      <c r="G40">
        <f>STANDARDIZE('confronto CWT'!G40,AVERAGE('confronto CWT'!G$2:G$42),STDEV('confronto CWT'!G$2:G$42))</f>
        <v>0.81578705057244905</v>
      </c>
      <c r="H40">
        <f>STANDARDIZE('confronto CWT'!H40,AVERAGE('confronto CWT'!H$2:H$42),STDEV('confronto CWT'!H$2:H$42))</f>
        <v>-0.93057891469244558</v>
      </c>
      <c r="I40">
        <f>STANDARDIZE('confronto CWT'!I40,AVERAGE('confronto CWT'!I$2:I$42),STDEV('confronto CWT'!I$2:I$42))</f>
        <v>1.0425095259606503</v>
      </c>
      <c r="J40">
        <f>STANDARDIZE('confronto CWT'!J40,AVERAGE('confronto CWT'!J$2:J$42),STDEV('confronto CWT'!J$2:J$42))</f>
        <v>1.1261783143312274</v>
      </c>
      <c r="K40">
        <f>STANDARDIZE('confronto CWT'!K40,AVERAGE('confronto CWT'!K$2:K$42),STDEV('confronto CWT'!K$2:K$42))</f>
        <v>0.65492878058744641</v>
      </c>
    </row>
    <row r="41" spans="1:11" x14ac:dyDescent="0.45">
      <c r="A41" s="1">
        <v>44652</v>
      </c>
      <c r="B41">
        <f>STANDARDIZE('confronto CWT'!B41,AVERAGE('confronto CWT'!B$2:B$42),STDEV('confronto CWT'!B$2:B$42))</f>
        <v>-2.8605710810902227</v>
      </c>
      <c r="C41">
        <f>STANDARDIZE('confronto CWT'!C41,AVERAGE('confronto CWT'!C$2:C$42),STDEV('confronto CWT'!C$2:C$42))</f>
        <v>0.37607583286333474</v>
      </c>
      <c r="D41">
        <f>STANDARDIZE('confronto CWT'!D41,AVERAGE('confronto CWT'!D$2:D$42),STDEV('confronto CWT'!D$2:D$42))</f>
        <v>0.43553572011285685</v>
      </c>
      <c r="E41">
        <f>STANDARDIZE('confronto CWT'!E41,AVERAGE('confronto CWT'!E$2:E$42),STDEV('confronto CWT'!E$2:E$42))</f>
        <v>0.73386140797749588</v>
      </c>
      <c r="F41">
        <f>STANDARDIZE('confronto CWT'!F41,AVERAGE('confronto CWT'!F$2:F$42),STDEV('confronto CWT'!F$2:F$42))</f>
        <v>0.72056531865925</v>
      </c>
      <c r="G41">
        <f>STANDARDIZE('confronto CWT'!G41,AVERAGE('confronto CWT'!G$2:G$42),STDEV('confronto CWT'!G$2:G$42))</f>
        <v>0.90916820791196074</v>
      </c>
      <c r="H41">
        <f>STANDARDIZE('confronto CWT'!H41,AVERAGE('confronto CWT'!H$2:H$42),STDEV('confronto CWT'!H$2:H$42))</f>
        <v>3.2153386090062755E-2</v>
      </c>
      <c r="I41">
        <f>STANDARDIZE('confronto CWT'!I41,AVERAGE('confronto CWT'!I$2:I$42),STDEV('confronto CWT'!I$2:I$42))</f>
        <v>0.55021499640911165</v>
      </c>
      <c r="J41">
        <f>STANDARDIZE('confronto CWT'!J41,AVERAGE('confronto CWT'!J$2:J$42),STDEV('confronto CWT'!J$2:J$42))</f>
        <v>1.2206989058129589</v>
      </c>
      <c r="K41">
        <f>STANDARDIZE('confronto CWT'!K41,AVERAGE('confronto CWT'!K$2:K$42),STDEV('confronto CWT'!K$2:K$42))</f>
        <v>0.37848496027944162</v>
      </c>
    </row>
    <row r="42" spans="1:11" x14ac:dyDescent="0.45">
      <c r="A42" s="1">
        <v>44682</v>
      </c>
      <c r="B42">
        <f>STANDARDIZE('confronto CWT'!B42,AVERAGE('confronto CWT'!B$2:B$42),STDEV('confronto CWT'!B$2:B$42))</f>
        <v>-1.3586655675053689</v>
      </c>
      <c r="C42">
        <f>STANDARDIZE('confronto CWT'!C42,AVERAGE('confronto CWT'!C$2:C$42),STDEV('confronto CWT'!C$2:C$42))</f>
        <v>0.5399862952394815</v>
      </c>
      <c r="D42">
        <f>STANDARDIZE('confronto CWT'!D42,AVERAGE('confronto CWT'!D$2:D$42),STDEV('confronto CWT'!D$2:D$42))</f>
        <v>0.45062677405369095</v>
      </c>
      <c r="E42">
        <f>STANDARDIZE('confronto CWT'!E42,AVERAGE('confronto CWT'!E$2:E$42),STDEV('confronto CWT'!E$2:E$42))</f>
        <v>8.704382209645771E-2</v>
      </c>
      <c r="F42">
        <f>STANDARDIZE('confronto CWT'!F42,AVERAGE('confronto CWT'!F$2:F$42),STDEV('confronto CWT'!F$2:F$42))</f>
        <v>0.90371817039140823</v>
      </c>
      <c r="G42">
        <f>STANDARDIZE('confronto CWT'!G42,AVERAGE('confronto CWT'!G$2:G$42),STDEV('confronto CWT'!G$2:G$42))</f>
        <v>0.90480156543666379</v>
      </c>
      <c r="H42">
        <f>STANDARDIZE('confronto CWT'!H42,AVERAGE('confronto CWT'!H$2:H$42),STDEV('confronto CWT'!H$2:H$42))</f>
        <v>-1.708875113285151</v>
      </c>
      <c r="I42">
        <f>STANDARDIZE('confronto CWT'!I42,AVERAGE('confronto CWT'!I$2:I$42),STDEV('confronto CWT'!I$2:I$42))</f>
        <v>0.60165902822160278</v>
      </c>
      <c r="J42">
        <f>STANDARDIZE('confronto CWT'!J42,AVERAGE('confronto CWT'!J$2:J$42),STDEV('confronto CWT'!J$2:J$42))</f>
        <v>1.0781728066880234</v>
      </c>
      <c r="K42">
        <f>STANDARDIZE('confronto CWT'!K42,AVERAGE('confronto CWT'!K$2:K$42),STDEV('confronto CWT'!K$2:K$42))</f>
        <v>0.96747211132923938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analisi</vt:lpstr>
      <vt:lpstr>RU</vt:lpstr>
      <vt:lpstr>CONFRONTO</vt:lpstr>
      <vt:lpstr>confronto CWT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2022-06-22T15:42:05Z</dcterms:created>
  <dcterms:modified xsi:type="dcterms:W3CDTF">2022-06-27T18:40:33Z</dcterms:modified>
</cp:coreProperties>
</file>