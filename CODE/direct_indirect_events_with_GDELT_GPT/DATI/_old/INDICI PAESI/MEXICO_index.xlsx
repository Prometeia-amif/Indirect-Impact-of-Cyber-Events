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"/>
    </mc:Choice>
  </mc:AlternateContent>
  <xr:revisionPtr revIDLastSave="0" documentId="13_ncr:1_{181364B5-AF36-46F1-B285-908A5E215F05}" xr6:coauthVersionLast="36" xr6:coauthVersionMax="36" xr10:uidLastSave="{00000000-0000-0000-0000-000000000000}"/>
  <bookViews>
    <workbookView xWindow="0" yWindow="0" windowWidth="20520" windowHeight="8865" xr2:uid="{00000000-000D-0000-FFFF-FFFF00000000}"/>
  </bookViews>
  <sheets>
    <sheet name="Sheet1" sheetId="1" r:id="rId1"/>
    <sheet name="Sheet2" sheetId="2" r:id="rId2"/>
  </sheets>
  <definedNames>
    <definedName name="_xlchart.v1.0" hidden="1">Sheet1!$A$2:$A$42</definedName>
    <definedName name="_xlchart.v1.1" hidden="1">Sheet1!$D$1</definedName>
    <definedName name="_xlchart.v1.2" hidden="1">Sheet1!$D$2:$D$42</definedName>
    <definedName name="_xlchart.v1.3" hidden="1">Sheet1!$E$1</definedName>
    <definedName name="_xlchart.v1.4" hidden="1">Sheet1!$E$2:$E$42</definedName>
  </definedName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  <c r="G3" i="1"/>
  <c r="G2" i="1"/>
  <c r="G4" i="1"/>
</calcChain>
</file>

<file path=xl/sharedStrings.xml><?xml version="1.0" encoding="utf-8"?>
<sst xmlns="http://schemas.openxmlformats.org/spreadsheetml/2006/main" count="12" uniqueCount="11">
  <si>
    <t>CWT_ID</t>
  </si>
  <si>
    <t>month</t>
  </si>
  <si>
    <t>GPRC_MEX</t>
  </si>
  <si>
    <t>CORR</t>
  </si>
  <si>
    <t>p-value</t>
  </si>
  <si>
    <t>MEXICO</t>
  </si>
  <si>
    <t>3.43744x10^-7</t>
  </si>
  <si>
    <t>media</t>
  </si>
  <si>
    <t>stdev</t>
  </si>
  <si>
    <t>CWT_stand</t>
  </si>
  <si>
    <t xml:space="preserve"> -GPRC_MEX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</si>
</sst>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MEXICO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GPRC_MEX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Sheet1!$B$2:$B$42</c:f>
              <c:numCache>
                <c:formatCode>#,##0.00</c:formatCode>
                <c:ptCount val="41"/>
                <c:pt idx="0">
                  <c:v>0.18274542689323425</c:v>
                </c:pt>
                <c:pt idx="1">
                  <c:v>0.23604947328567505</c:v>
                </c:pt>
                <c:pt idx="2">
                  <c:v>8.3423711359500885E-2</c:v>
                </c:pt>
                <c:pt idx="3">
                  <c:v>0.12534694373607635</c:v>
                </c:pt>
                <c:pt idx="4">
                  <c:v>9.8856702446937561E-2</c:v>
                </c:pt>
                <c:pt idx="5">
                  <c:v>0.34515488147735596</c:v>
                </c:pt>
                <c:pt idx="6">
                  <c:v>0.10176090896129608</c:v>
                </c:pt>
                <c:pt idx="7">
                  <c:v>0.13273161649703979</c:v>
                </c:pt>
                <c:pt idx="8">
                  <c:v>7.0862308144569397E-2</c:v>
                </c:pt>
                <c:pt idx="9">
                  <c:v>9.2491380870342255E-2</c:v>
                </c:pt>
                <c:pt idx="10">
                  <c:v>0.18045774102210999</c:v>
                </c:pt>
                <c:pt idx="11">
                  <c:v>7.7662363648414612E-2</c:v>
                </c:pt>
                <c:pt idx="12">
                  <c:v>6.1769247055053711E-2</c:v>
                </c:pt>
                <c:pt idx="13">
                  <c:v>4.0124833583831787E-2</c:v>
                </c:pt>
                <c:pt idx="14">
                  <c:v>0.14109799265861511</c:v>
                </c:pt>
                <c:pt idx="15">
                  <c:v>0.12998467683792114</c:v>
                </c:pt>
                <c:pt idx="16">
                  <c:v>6.3085794448852539E-2</c:v>
                </c:pt>
                <c:pt idx="17">
                  <c:v>8.767072856426239E-2</c:v>
                </c:pt>
                <c:pt idx="18">
                  <c:v>6.300913542509079E-2</c:v>
                </c:pt>
                <c:pt idx="19">
                  <c:v>8.9051157236099243E-2</c:v>
                </c:pt>
                <c:pt idx="20">
                  <c:v>6.7216344177722931E-2</c:v>
                </c:pt>
                <c:pt idx="21">
                  <c:v>8.8581427931785583E-2</c:v>
                </c:pt>
                <c:pt idx="22">
                  <c:v>9.1772586107254028E-2</c:v>
                </c:pt>
                <c:pt idx="23">
                  <c:v>2.3607175797224045E-2</c:v>
                </c:pt>
                <c:pt idx="24">
                  <c:v>7.3079384863376617E-2</c:v>
                </c:pt>
                <c:pt idx="25">
                  <c:v>8.0056041479110718E-2</c:v>
                </c:pt>
                <c:pt idx="26">
                  <c:v>6.3359886407852173E-2</c:v>
                </c:pt>
                <c:pt idx="27">
                  <c:v>4.3388132005929947E-2</c:v>
                </c:pt>
                <c:pt idx="28">
                  <c:v>5.1669877022504807E-2</c:v>
                </c:pt>
                <c:pt idx="29">
                  <c:v>3.3733315765857697E-2</c:v>
                </c:pt>
                <c:pt idx="30">
                  <c:v>5.5712893605232239E-2</c:v>
                </c:pt>
                <c:pt idx="31">
                  <c:v>6.0006000101566315E-2</c:v>
                </c:pt>
                <c:pt idx="32">
                  <c:v>8.6721912026405334E-2</c:v>
                </c:pt>
                <c:pt idx="33">
                  <c:v>5.5294442921876907E-2</c:v>
                </c:pt>
                <c:pt idx="34">
                  <c:v>6.8259388208389282E-2</c:v>
                </c:pt>
                <c:pt idx="35">
                  <c:v>6.0892067849636078E-2</c:v>
                </c:pt>
                <c:pt idx="36">
                  <c:v>7.5105145573616028E-2</c:v>
                </c:pt>
                <c:pt idx="37">
                  <c:v>3.6433663219213486E-2</c:v>
                </c:pt>
                <c:pt idx="38">
                  <c:v>9.962143748998642E-2</c:v>
                </c:pt>
                <c:pt idx="39">
                  <c:v>0.15137752890586853</c:v>
                </c:pt>
                <c:pt idx="40">
                  <c:v>9.1145835816860199E-2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C-4CDB-8BFA-BDBBF8499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7074191"/>
        <c:axId val="279833935"/>
      </c:line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Sheet1!$C$2:$C$42</c:f>
              <c:numCache>
                <c:formatCode>General</c:formatCode>
                <c:ptCount val="41"/>
                <c:pt idx="0">
                  <c:v>-1167.8015137693089</c:v>
                </c:pt>
                <c:pt idx="1">
                  <c:v>-930.5809165461086</c:v>
                </c:pt>
                <c:pt idx="2">
                  <c:v>-676.82930801072041</c:v>
                </c:pt>
                <c:pt idx="3">
                  <c:v>-831.6973785248224</c:v>
                </c:pt>
                <c:pt idx="4">
                  <c:v>-659.81833195960394</c:v>
                </c:pt>
                <c:pt idx="5">
                  <c:v>-1106.385115318139</c:v>
                </c:pt>
                <c:pt idx="6">
                  <c:v>-886.25461487309894</c:v>
                </c:pt>
                <c:pt idx="7">
                  <c:v>-1156.011865687821</c:v>
                </c:pt>
                <c:pt idx="8">
                  <c:v>-525.73871549655553</c:v>
                </c:pt>
                <c:pt idx="9">
                  <c:v>-541.9225704551925</c:v>
                </c:pt>
                <c:pt idx="10">
                  <c:v>-1086.8085188532029</c:v>
                </c:pt>
                <c:pt idx="11">
                  <c:v>-551.53934832936</c:v>
                </c:pt>
                <c:pt idx="12">
                  <c:v>-547.92337083036739</c:v>
                </c:pt>
                <c:pt idx="13">
                  <c:v>-545.42901966854708</c:v>
                </c:pt>
                <c:pt idx="14">
                  <c:v>-519.77849848279095</c:v>
                </c:pt>
                <c:pt idx="15">
                  <c:v>-447.0980617223538</c:v>
                </c:pt>
                <c:pt idx="16">
                  <c:v>-468.09562276460321</c:v>
                </c:pt>
                <c:pt idx="17">
                  <c:v>-660.56072315835775</c:v>
                </c:pt>
                <c:pt idx="18">
                  <c:v>-555.24090935047514</c:v>
                </c:pt>
                <c:pt idx="19">
                  <c:v>-483.13791668620809</c:v>
                </c:pt>
                <c:pt idx="20">
                  <c:v>-376.90628318290311</c:v>
                </c:pt>
                <c:pt idx="21">
                  <c:v>-227.85401894418229</c:v>
                </c:pt>
                <c:pt idx="22">
                  <c:v>-215.66291708483641</c:v>
                </c:pt>
                <c:pt idx="23">
                  <c:v>-258.46449196420139</c:v>
                </c:pt>
                <c:pt idx="24">
                  <c:v>-444.20581813615848</c:v>
                </c:pt>
                <c:pt idx="25">
                  <c:v>-492.49205238257929</c:v>
                </c:pt>
                <c:pt idx="26">
                  <c:v>-572.20687003755017</c:v>
                </c:pt>
                <c:pt idx="27">
                  <c:v>-344.89619427127758</c:v>
                </c:pt>
                <c:pt idx="28">
                  <c:v>-381.93470444309861</c:v>
                </c:pt>
                <c:pt idx="29">
                  <c:v>-383.79502715752898</c:v>
                </c:pt>
                <c:pt idx="30">
                  <c:v>-279.61337733045423</c:v>
                </c:pt>
                <c:pt idx="31">
                  <c:v>-322.2369733106687</c:v>
                </c:pt>
                <c:pt idx="32">
                  <c:v>-494.9375530925584</c:v>
                </c:pt>
                <c:pt idx="33">
                  <c:v>-339.45627066614298</c:v>
                </c:pt>
                <c:pt idx="34">
                  <c:v>-276.2906082848445</c:v>
                </c:pt>
                <c:pt idx="35">
                  <c:v>-313.58424725239922</c:v>
                </c:pt>
                <c:pt idx="36">
                  <c:v>-272.08590327713432</c:v>
                </c:pt>
                <c:pt idx="37">
                  <c:v>-291.05059040570751</c:v>
                </c:pt>
                <c:pt idx="38">
                  <c:v>-253.69940657521661</c:v>
                </c:pt>
                <c:pt idx="39">
                  <c:v>-383.17034449096462</c:v>
                </c:pt>
                <c:pt idx="40">
                  <c:v>-369.64082781118702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AC-4CDB-8BFA-BDBBF8499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7068991"/>
        <c:axId val="279833103"/>
      </c:lineChart>
      <c:dateAx>
        <c:axId val="6770741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33935"/>
        <c:crosses val="autoZero"/>
        <c:auto val="1"/>
        <c:lblOffset val="100"/>
        <c:baseTimeUnit val="months"/>
      </c:dateAx>
      <c:valAx>
        <c:axId val="27983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074191"/>
        <c:crosses val="autoZero"/>
        <c:crossBetween val="between"/>
      </c:valAx>
      <c:valAx>
        <c:axId val="27983310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068991"/>
        <c:crosses val="max"/>
        <c:crossBetween val="between"/>
      </c:valAx>
      <c:dateAx>
        <c:axId val="67706899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7983310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MEXICO </a:t>
            </a:r>
            <a:r>
              <a:rPr lang="en-US" baseline="0"/>
              <a:t>   CORR= -0,7004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GPRC_MEX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Sheet1!$B$2:$B$42</c:f>
              <c:numCache>
                <c:formatCode>#,##0.00</c:formatCode>
                <c:ptCount val="41"/>
                <c:pt idx="0">
                  <c:v>0.18274542689323425</c:v>
                </c:pt>
                <c:pt idx="1">
                  <c:v>0.23604947328567505</c:v>
                </c:pt>
                <c:pt idx="2">
                  <c:v>8.3423711359500885E-2</c:v>
                </c:pt>
                <c:pt idx="3">
                  <c:v>0.12534694373607635</c:v>
                </c:pt>
                <c:pt idx="4">
                  <c:v>9.8856702446937561E-2</c:v>
                </c:pt>
                <c:pt idx="5">
                  <c:v>0.34515488147735596</c:v>
                </c:pt>
                <c:pt idx="6">
                  <c:v>0.10176090896129608</c:v>
                </c:pt>
                <c:pt idx="7">
                  <c:v>0.13273161649703979</c:v>
                </c:pt>
                <c:pt idx="8">
                  <c:v>7.0862308144569397E-2</c:v>
                </c:pt>
                <c:pt idx="9">
                  <c:v>9.2491380870342255E-2</c:v>
                </c:pt>
                <c:pt idx="10">
                  <c:v>0.18045774102210999</c:v>
                </c:pt>
                <c:pt idx="11">
                  <c:v>7.7662363648414612E-2</c:v>
                </c:pt>
                <c:pt idx="12">
                  <c:v>6.1769247055053711E-2</c:v>
                </c:pt>
                <c:pt idx="13">
                  <c:v>4.0124833583831787E-2</c:v>
                </c:pt>
                <c:pt idx="14">
                  <c:v>0.14109799265861511</c:v>
                </c:pt>
                <c:pt idx="15">
                  <c:v>0.12998467683792114</c:v>
                </c:pt>
                <c:pt idx="16">
                  <c:v>6.3085794448852539E-2</c:v>
                </c:pt>
                <c:pt idx="17">
                  <c:v>8.767072856426239E-2</c:v>
                </c:pt>
                <c:pt idx="18">
                  <c:v>6.300913542509079E-2</c:v>
                </c:pt>
                <c:pt idx="19">
                  <c:v>8.9051157236099243E-2</c:v>
                </c:pt>
                <c:pt idx="20">
                  <c:v>6.7216344177722931E-2</c:v>
                </c:pt>
                <c:pt idx="21">
                  <c:v>8.8581427931785583E-2</c:v>
                </c:pt>
                <c:pt idx="22">
                  <c:v>9.1772586107254028E-2</c:v>
                </c:pt>
                <c:pt idx="23">
                  <c:v>2.3607175797224045E-2</c:v>
                </c:pt>
                <c:pt idx="24">
                  <c:v>7.3079384863376617E-2</c:v>
                </c:pt>
                <c:pt idx="25">
                  <c:v>8.0056041479110718E-2</c:v>
                </c:pt>
                <c:pt idx="26">
                  <c:v>6.3359886407852173E-2</c:v>
                </c:pt>
                <c:pt idx="27">
                  <c:v>4.3388132005929947E-2</c:v>
                </c:pt>
                <c:pt idx="28">
                  <c:v>5.1669877022504807E-2</c:v>
                </c:pt>
                <c:pt idx="29">
                  <c:v>3.3733315765857697E-2</c:v>
                </c:pt>
                <c:pt idx="30">
                  <c:v>5.5712893605232239E-2</c:v>
                </c:pt>
                <c:pt idx="31">
                  <c:v>6.0006000101566315E-2</c:v>
                </c:pt>
                <c:pt idx="32">
                  <c:v>8.6721912026405334E-2</c:v>
                </c:pt>
                <c:pt idx="33">
                  <c:v>5.5294442921876907E-2</c:v>
                </c:pt>
                <c:pt idx="34">
                  <c:v>6.8259388208389282E-2</c:v>
                </c:pt>
                <c:pt idx="35">
                  <c:v>6.0892067849636078E-2</c:v>
                </c:pt>
                <c:pt idx="36">
                  <c:v>7.5105145573616028E-2</c:v>
                </c:pt>
                <c:pt idx="37">
                  <c:v>3.6433663219213486E-2</c:v>
                </c:pt>
                <c:pt idx="38">
                  <c:v>9.962143748998642E-2</c:v>
                </c:pt>
                <c:pt idx="39">
                  <c:v>0.15137752890586853</c:v>
                </c:pt>
                <c:pt idx="40">
                  <c:v>9.1145835816860199E-2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4-4922-B6DE-2A8C314F8BEA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-2.4332316254321347</c:v>
                </c:pt>
                <c:pt idx="1">
                  <c:v>-1.5312345889549179</c:v>
                </c:pt>
                <c:pt idx="2">
                  <c:v>-0.56638077111847063</c:v>
                </c:pt>
                <c:pt idx="3">
                  <c:v>-1.1552442268378327</c:v>
                </c:pt>
                <c:pt idx="4">
                  <c:v>-0.50169899320668598</c:v>
                </c:pt>
                <c:pt idx="5">
                  <c:v>-2.1997046465672434</c:v>
                </c:pt>
                <c:pt idx="6">
                  <c:v>-1.3626902331314199</c:v>
                </c:pt>
                <c:pt idx="7">
                  <c:v>-2.3884031925089779</c:v>
                </c:pt>
                <c:pt idx="8">
                  <c:v>8.1193704486414893E-3</c:v>
                </c:pt>
                <c:pt idx="9">
                  <c:v>-5.3417399049213839E-2</c:v>
                </c:pt>
                <c:pt idx="10">
                  <c:v>-2.1252674678299002</c:v>
                </c:pt>
                <c:pt idx="11">
                  <c:v>-8.9983807044541148E-2</c:v>
                </c:pt>
                <c:pt idx="12">
                  <c:v>-7.6234575206165847E-2</c:v>
                </c:pt>
                <c:pt idx="13">
                  <c:v>-6.6750165411098614E-2</c:v>
                </c:pt>
                <c:pt idx="14">
                  <c:v>3.0782234239167979E-2</c:v>
                </c:pt>
                <c:pt idx="15">
                  <c:v>0.30713909083244739</c:v>
                </c:pt>
                <c:pt idx="16">
                  <c:v>0.22729889965571723</c:v>
                </c:pt>
                <c:pt idx="17">
                  <c:v>-0.50452182844536742</c:v>
                </c:pt>
                <c:pt idx="18">
                  <c:v>-0.10405845785677213</c:v>
                </c:pt>
                <c:pt idx="19">
                  <c:v>0.17010275101631114</c:v>
                </c:pt>
                <c:pt idx="20">
                  <c:v>0.57403318421540428</c:v>
                </c:pt>
                <c:pt idx="21">
                  <c:v>1.1407828771058852</c:v>
                </c:pt>
                <c:pt idx="22">
                  <c:v>1.1871377799989733</c:v>
                </c:pt>
                <c:pt idx="23">
                  <c:v>1.024390977446159</c:v>
                </c:pt>
                <c:pt idx="24">
                  <c:v>0.31813642906553435</c:v>
                </c:pt>
                <c:pt idx="25">
                  <c:v>0.13453500194351944</c:v>
                </c:pt>
                <c:pt idx="26">
                  <c:v>-0.16856907135266455</c:v>
                </c:pt>
                <c:pt idx="27">
                  <c:v>0.69574692102254965</c:v>
                </c:pt>
                <c:pt idx="28">
                  <c:v>0.55491333910942553</c:v>
                </c:pt>
                <c:pt idx="29">
                  <c:v>0.54783973085217708</c:v>
                </c:pt>
                <c:pt idx="30">
                  <c:v>0.9439753973976539</c:v>
                </c:pt>
                <c:pt idx="31">
                  <c:v>0.78190533388634098</c:v>
                </c:pt>
                <c:pt idx="32">
                  <c:v>0.12523633893143443</c:v>
                </c:pt>
                <c:pt idx="33">
                  <c:v>0.71643144432251027</c:v>
                </c:pt>
                <c:pt idx="34">
                  <c:v>0.95660974646818686</c:v>
                </c:pt>
                <c:pt idx="35">
                  <c:v>0.81480607418194362</c:v>
                </c:pt>
                <c:pt idx="36">
                  <c:v>0.97259752957222745</c:v>
                </c:pt>
                <c:pt idx="37">
                  <c:v>0.90048704764980159</c:v>
                </c:pt>
                <c:pt idx="38">
                  <c:v>1.0425095259606503</c:v>
                </c:pt>
                <c:pt idx="39">
                  <c:v>0.55021499640911165</c:v>
                </c:pt>
                <c:pt idx="40">
                  <c:v>0.60165902822160278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54-4922-B6DE-2A8C314F8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5503551"/>
        <c:axId val="919450159"/>
      </c:lineChart>
      <c:dateAx>
        <c:axId val="9155035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50159"/>
        <c:crosses val="autoZero"/>
        <c:auto val="1"/>
        <c:lblOffset val="100"/>
        <c:baseTimeUnit val="months"/>
      </c:dateAx>
      <c:valAx>
        <c:axId val="91945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0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MEXICO     CORR=0.7004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-2.4332316254321347</c:v>
                </c:pt>
                <c:pt idx="1">
                  <c:v>-1.5312345889549179</c:v>
                </c:pt>
                <c:pt idx="2">
                  <c:v>-0.56638077111847063</c:v>
                </c:pt>
                <c:pt idx="3">
                  <c:v>-1.1552442268378327</c:v>
                </c:pt>
                <c:pt idx="4">
                  <c:v>-0.50169899320668598</c:v>
                </c:pt>
                <c:pt idx="5">
                  <c:v>-2.1997046465672434</c:v>
                </c:pt>
                <c:pt idx="6">
                  <c:v>-1.3626902331314199</c:v>
                </c:pt>
                <c:pt idx="7">
                  <c:v>-2.3884031925089779</c:v>
                </c:pt>
                <c:pt idx="8">
                  <c:v>8.1193704486414893E-3</c:v>
                </c:pt>
                <c:pt idx="9">
                  <c:v>-5.3417399049213839E-2</c:v>
                </c:pt>
                <c:pt idx="10">
                  <c:v>-2.1252674678299002</c:v>
                </c:pt>
                <c:pt idx="11">
                  <c:v>-8.9983807044541148E-2</c:v>
                </c:pt>
                <c:pt idx="12">
                  <c:v>-7.6234575206165847E-2</c:v>
                </c:pt>
                <c:pt idx="13">
                  <c:v>-6.6750165411098614E-2</c:v>
                </c:pt>
                <c:pt idx="14">
                  <c:v>3.0782234239167979E-2</c:v>
                </c:pt>
                <c:pt idx="15">
                  <c:v>0.30713909083244739</c:v>
                </c:pt>
                <c:pt idx="16">
                  <c:v>0.22729889965571723</c:v>
                </c:pt>
                <c:pt idx="17">
                  <c:v>-0.50452182844536742</c:v>
                </c:pt>
                <c:pt idx="18">
                  <c:v>-0.10405845785677213</c:v>
                </c:pt>
                <c:pt idx="19">
                  <c:v>0.17010275101631114</c:v>
                </c:pt>
                <c:pt idx="20">
                  <c:v>0.57403318421540428</c:v>
                </c:pt>
                <c:pt idx="21">
                  <c:v>1.1407828771058852</c:v>
                </c:pt>
                <c:pt idx="22">
                  <c:v>1.1871377799989733</c:v>
                </c:pt>
                <c:pt idx="23">
                  <c:v>1.024390977446159</c:v>
                </c:pt>
                <c:pt idx="24">
                  <c:v>0.31813642906553435</c:v>
                </c:pt>
                <c:pt idx="25">
                  <c:v>0.13453500194351944</c:v>
                </c:pt>
                <c:pt idx="26">
                  <c:v>-0.16856907135266455</c:v>
                </c:pt>
                <c:pt idx="27">
                  <c:v>0.69574692102254965</c:v>
                </c:pt>
                <c:pt idx="28">
                  <c:v>0.55491333910942553</c:v>
                </c:pt>
                <c:pt idx="29">
                  <c:v>0.54783973085217708</c:v>
                </c:pt>
                <c:pt idx="30">
                  <c:v>0.9439753973976539</c:v>
                </c:pt>
                <c:pt idx="31">
                  <c:v>0.78190533388634098</c:v>
                </c:pt>
                <c:pt idx="32">
                  <c:v>0.12523633893143443</c:v>
                </c:pt>
                <c:pt idx="33">
                  <c:v>0.71643144432251027</c:v>
                </c:pt>
                <c:pt idx="34">
                  <c:v>0.95660974646818686</c:v>
                </c:pt>
                <c:pt idx="35">
                  <c:v>0.81480607418194362</c:v>
                </c:pt>
                <c:pt idx="36">
                  <c:v>0.97259752957222745</c:v>
                </c:pt>
                <c:pt idx="37">
                  <c:v>0.90048704764980159</c:v>
                </c:pt>
                <c:pt idx="38">
                  <c:v>1.0425095259606503</c:v>
                </c:pt>
                <c:pt idx="39">
                  <c:v>0.55021499640911165</c:v>
                </c:pt>
                <c:pt idx="40">
                  <c:v>0.60165902822160278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14-4BB2-AB45-DFED27A9F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4931487"/>
        <c:axId val="940370767"/>
      </c:lineChart>
      <c:lineChart>
        <c:grouping val="standard"/>
        <c:varyColors val="0"/>
        <c:ser>
          <c:idx val="1"/>
          <c:order val="1"/>
          <c:tx>
            <c:strRef>
              <c:f>Sheet1!$E$1</c:f>
              <c:strCache>
                <c:ptCount val="1"/>
                <c:pt idx="0">
                  <c:v> -GPRC_MEX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Sheet1!$E$2:$E$42</c:f>
              <c:numCache>
                <c:formatCode>#,##0.00</c:formatCode>
                <c:ptCount val="41"/>
                <c:pt idx="0">
                  <c:v>-0.18274542689323425</c:v>
                </c:pt>
                <c:pt idx="1">
                  <c:v>-0.23604947328567505</c:v>
                </c:pt>
                <c:pt idx="2">
                  <c:v>-8.3423711359500885E-2</c:v>
                </c:pt>
                <c:pt idx="3">
                  <c:v>-0.12534694373607635</c:v>
                </c:pt>
                <c:pt idx="4">
                  <c:v>-9.8856702446937561E-2</c:v>
                </c:pt>
                <c:pt idx="5">
                  <c:v>-0.34515488147735596</c:v>
                </c:pt>
                <c:pt idx="6">
                  <c:v>-0.10176090896129608</c:v>
                </c:pt>
                <c:pt idx="7">
                  <c:v>-0.13273161649703979</c:v>
                </c:pt>
                <c:pt idx="8">
                  <c:v>-7.0862308144569397E-2</c:v>
                </c:pt>
                <c:pt idx="9">
                  <c:v>-9.2491380870342255E-2</c:v>
                </c:pt>
                <c:pt idx="10">
                  <c:v>-0.18045774102210999</c:v>
                </c:pt>
                <c:pt idx="11">
                  <c:v>-7.7662363648414612E-2</c:v>
                </c:pt>
                <c:pt idx="12">
                  <c:v>-6.1769247055053711E-2</c:v>
                </c:pt>
                <c:pt idx="13">
                  <c:v>-4.0124833583831787E-2</c:v>
                </c:pt>
                <c:pt idx="14">
                  <c:v>-0.14109799265861511</c:v>
                </c:pt>
                <c:pt idx="15">
                  <c:v>-0.12998467683792114</c:v>
                </c:pt>
                <c:pt idx="16">
                  <c:v>-6.3085794448852539E-2</c:v>
                </c:pt>
                <c:pt idx="17">
                  <c:v>-8.767072856426239E-2</c:v>
                </c:pt>
                <c:pt idx="18">
                  <c:v>-6.300913542509079E-2</c:v>
                </c:pt>
                <c:pt idx="19">
                  <c:v>-8.9051157236099243E-2</c:v>
                </c:pt>
                <c:pt idx="20">
                  <c:v>-6.7216344177722931E-2</c:v>
                </c:pt>
                <c:pt idx="21">
                  <c:v>-8.8581427931785583E-2</c:v>
                </c:pt>
                <c:pt idx="22">
                  <c:v>-9.1772586107254028E-2</c:v>
                </c:pt>
                <c:pt idx="23">
                  <c:v>-2.3607175797224045E-2</c:v>
                </c:pt>
                <c:pt idx="24">
                  <c:v>-7.3079384863376617E-2</c:v>
                </c:pt>
                <c:pt idx="25">
                  <c:v>-8.0056041479110718E-2</c:v>
                </c:pt>
                <c:pt idx="26">
                  <c:v>-6.3359886407852173E-2</c:v>
                </c:pt>
                <c:pt idx="27">
                  <c:v>-4.3388132005929947E-2</c:v>
                </c:pt>
                <c:pt idx="28">
                  <c:v>-5.1669877022504807E-2</c:v>
                </c:pt>
                <c:pt idx="29">
                  <c:v>-3.3733315765857697E-2</c:v>
                </c:pt>
                <c:pt idx="30">
                  <c:v>-5.5712893605232239E-2</c:v>
                </c:pt>
                <c:pt idx="31">
                  <c:v>-6.0006000101566315E-2</c:v>
                </c:pt>
                <c:pt idx="32">
                  <c:v>-8.6721912026405334E-2</c:v>
                </c:pt>
                <c:pt idx="33">
                  <c:v>-5.5294442921876907E-2</c:v>
                </c:pt>
                <c:pt idx="34">
                  <c:v>-6.8259388208389282E-2</c:v>
                </c:pt>
                <c:pt idx="35">
                  <c:v>-6.0892067849636078E-2</c:v>
                </c:pt>
                <c:pt idx="36">
                  <c:v>-7.5105145573616028E-2</c:v>
                </c:pt>
                <c:pt idx="37">
                  <c:v>-3.6433663219213486E-2</c:v>
                </c:pt>
                <c:pt idx="38">
                  <c:v>-9.962143748998642E-2</c:v>
                </c:pt>
                <c:pt idx="39">
                  <c:v>-0.15137752890586853</c:v>
                </c:pt>
                <c:pt idx="40">
                  <c:v>-9.1145835816860199E-2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14-4BB2-AB45-DFED27A9F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286831"/>
        <c:axId val="943118751"/>
      </c:lineChart>
      <c:dateAx>
        <c:axId val="10149314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370767"/>
        <c:crosses val="autoZero"/>
        <c:auto val="1"/>
        <c:lblOffset val="100"/>
        <c:baseTimeUnit val="months"/>
      </c:dateAx>
      <c:valAx>
        <c:axId val="94037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931487"/>
        <c:crosses val="autoZero"/>
        <c:crossBetween val="between"/>
      </c:valAx>
      <c:valAx>
        <c:axId val="943118751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86831"/>
        <c:crosses val="max"/>
        <c:crossBetween val="between"/>
      </c:valAx>
      <c:dateAx>
        <c:axId val="99928683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43118751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22</xdr:row>
      <xdr:rowOff>164306</xdr:rowOff>
    </xdr:from>
    <xdr:to>
      <xdr:col>13</xdr:col>
      <xdr:colOff>159543</xdr:colOff>
      <xdr:row>38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0ED270-AC68-47D1-B38C-63AD8C13D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35718</xdr:colOff>
      <xdr:row>6</xdr:row>
      <xdr:rowOff>102393</xdr:rowOff>
    </xdr:from>
    <xdr:to>
      <xdr:col>13</xdr:col>
      <xdr:colOff>73818</xdr:colOff>
      <xdr:row>21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C5F407-9AE6-4858-BCAF-0AD10A2C0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121443</xdr:colOff>
      <xdr:row>19</xdr:row>
      <xdr:rowOff>164306</xdr:rowOff>
    </xdr:from>
    <xdr:to>
      <xdr:col>13</xdr:col>
      <xdr:colOff>159543</xdr:colOff>
      <xdr:row>35</xdr:row>
      <xdr:rowOff>11906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E12E84-DFFB-41A2-84C9-90011EC64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D1" activeCellId="1" sqref="A1:A42 D1:E42"/>
    </sheetView>
  </sheetViews>
  <sheetFormatPr defaultRowHeight="14.25" x14ac:dyDescent="0.45"/>
  <sheetData>
    <row r="1" spans="1:7" x14ac:dyDescent="0.45">
      <c r="A1" t="s">
        <v>1</v>
      </c>
      <c r="B1" t="s">
        <v>2</v>
      </c>
      <c r="C1" s="1" t="s">
        <v>0</v>
      </c>
      <c r="D1" t="s">
        <v>9</v>
      </c>
      <c r="E1" t="s">
        <v>10</v>
      </c>
    </row>
    <row r="2" spans="1:7" x14ac:dyDescent="0.45">
      <c r="A2" s="2">
        <v>43466</v>
      </c>
      <c r="B2" s="3">
        <v>0.18274542689323425</v>
      </c>
      <c r="C2">
        <v>-1167.8015137693089</v>
      </c>
      <c r="D2">
        <f>STANDARDIZE(C2,$G$2,$G$3)</f>
        <v>-2.4332316254321347</v>
      </c>
      <c r="E2" s="3">
        <f>-B2</f>
        <v>-0.18274542689323425</v>
      </c>
      <c r="F2" t="s">
        <v>7</v>
      </c>
      <c r="G2">
        <f>AVERAGE(C2:C42)</f>
        <v>-527.87406830705424</v>
      </c>
    </row>
    <row r="3" spans="1:7" x14ac:dyDescent="0.45">
      <c r="A3" s="2">
        <v>43497</v>
      </c>
      <c r="B3" s="3">
        <v>0.23604947328567505</v>
      </c>
      <c r="C3">
        <v>-930.5809165461086</v>
      </c>
      <c r="D3">
        <f t="shared" ref="D3:D42" si="0">STANDARDIZE(C3,$G$2,$G$3)</f>
        <v>-1.5312345889549179</v>
      </c>
      <c r="E3" s="3">
        <f t="shared" ref="E3:E42" si="1">-B3</f>
        <v>-0.23604947328567505</v>
      </c>
      <c r="F3" t="s">
        <v>8</v>
      </c>
      <c r="G3">
        <f>STDEV(C2:C42)</f>
        <v>262.99487429545695</v>
      </c>
    </row>
    <row r="4" spans="1:7" x14ac:dyDescent="0.45">
      <c r="A4" s="2">
        <v>43525</v>
      </c>
      <c r="B4" s="3">
        <v>8.3423711359500885E-2</v>
      </c>
      <c r="C4">
        <v>-676.82930801072041</v>
      </c>
      <c r="D4">
        <f t="shared" si="0"/>
        <v>-0.56638077111847063</v>
      </c>
      <c r="E4" s="3">
        <f t="shared" si="1"/>
        <v>-8.3423711359500885E-2</v>
      </c>
      <c r="F4" t="s">
        <v>3</v>
      </c>
      <c r="G4">
        <f>CORREL(B2:B42,C2:C42)</f>
        <v>-0.70039777892580601</v>
      </c>
    </row>
    <row r="5" spans="1:7" x14ac:dyDescent="0.45">
      <c r="A5" s="2">
        <v>43556</v>
      </c>
      <c r="B5" s="3">
        <v>0.12534694373607635</v>
      </c>
      <c r="C5">
        <v>-831.6973785248224</v>
      </c>
      <c r="D5">
        <f t="shared" si="0"/>
        <v>-1.1552442268378327</v>
      </c>
      <c r="E5" s="3">
        <f t="shared" si="1"/>
        <v>-0.12534694373607635</v>
      </c>
    </row>
    <row r="6" spans="1:7" x14ac:dyDescent="0.45">
      <c r="A6" s="2">
        <v>43586</v>
      </c>
      <c r="B6" s="3">
        <v>9.8856702446937561E-2</v>
      </c>
      <c r="C6">
        <v>-659.81833195960394</v>
      </c>
      <c r="D6">
        <f t="shared" si="0"/>
        <v>-0.50169899320668598</v>
      </c>
      <c r="E6" s="3">
        <f t="shared" si="1"/>
        <v>-9.8856702446937561E-2</v>
      </c>
    </row>
    <row r="7" spans="1:7" x14ac:dyDescent="0.45">
      <c r="A7" s="2">
        <v>43617</v>
      </c>
      <c r="B7" s="3">
        <v>0.34515488147735596</v>
      </c>
      <c r="C7">
        <v>-1106.385115318139</v>
      </c>
      <c r="D7">
        <f t="shared" si="0"/>
        <v>-2.1997046465672434</v>
      </c>
      <c r="E7" s="3">
        <f t="shared" si="1"/>
        <v>-0.34515488147735596</v>
      </c>
    </row>
    <row r="8" spans="1:7" x14ac:dyDescent="0.45">
      <c r="A8" s="2">
        <v>43647</v>
      </c>
      <c r="B8" s="3">
        <v>0.10176090896129608</v>
      </c>
      <c r="C8">
        <v>-886.25461487309894</v>
      </c>
      <c r="D8">
        <f t="shared" si="0"/>
        <v>-1.3626902331314199</v>
      </c>
      <c r="E8" s="3">
        <f t="shared" si="1"/>
        <v>-0.10176090896129608</v>
      </c>
    </row>
    <row r="9" spans="1:7" x14ac:dyDescent="0.45">
      <c r="A9" s="2">
        <v>43678</v>
      </c>
      <c r="B9" s="3">
        <v>0.13273161649703979</v>
      </c>
      <c r="C9">
        <v>-1156.011865687821</v>
      </c>
      <c r="D9">
        <f t="shared" si="0"/>
        <v>-2.3884031925089779</v>
      </c>
      <c r="E9" s="3">
        <f t="shared" si="1"/>
        <v>-0.13273161649703979</v>
      </c>
    </row>
    <row r="10" spans="1:7" x14ac:dyDescent="0.45">
      <c r="A10" s="2">
        <v>43709</v>
      </c>
      <c r="B10" s="3">
        <v>7.0862308144569397E-2</v>
      </c>
      <c r="C10">
        <v>-525.73871549655553</v>
      </c>
      <c r="D10">
        <f t="shared" si="0"/>
        <v>8.1193704486414893E-3</v>
      </c>
      <c r="E10" s="3">
        <f t="shared" si="1"/>
        <v>-7.0862308144569397E-2</v>
      </c>
    </row>
    <row r="11" spans="1:7" x14ac:dyDescent="0.45">
      <c r="A11" s="2">
        <v>43739</v>
      </c>
      <c r="B11" s="3">
        <v>9.2491380870342255E-2</v>
      </c>
      <c r="C11">
        <v>-541.9225704551925</v>
      </c>
      <c r="D11">
        <f t="shared" si="0"/>
        <v>-5.3417399049213839E-2</v>
      </c>
      <c r="E11" s="3">
        <f t="shared" si="1"/>
        <v>-9.2491380870342255E-2</v>
      </c>
    </row>
    <row r="12" spans="1:7" x14ac:dyDescent="0.45">
      <c r="A12" s="2">
        <v>43770</v>
      </c>
      <c r="B12" s="3">
        <v>0.18045774102210999</v>
      </c>
      <c r="C12">
        <v>-1086.8085188532029</v>
      </c>
      <c r="D12">
        <f t="shared" si="0"/>
        <v>-2.1252674678299002</v>
      </c>
      <c r="E12" s="3">
        <f t="shared" si="1"/>
        <v>-0.18045774102210999</v>
      </c>
    </row>
    <row r="13" spans="1:7" x14ac:dyDescent="0.45">
      <c r="A13" s="2">
        <v>43800</v>
      </c>
      <c r="B13" s="3">
        <v>7.7662363648414612E-2</v>
      </c>
      <c r="C13">
        <v>-551.53934832936</v>
      </c>
      <c r="D13">
        <f t="shared" si="0"/>
        <v>-8.9983807044541148E-2</v>
      </c>
      <c r="E13" s="3">
        <f t="shared" si="1"/>
        <v>-7.7662363648414612E-2</v>
      </c>
    </row>
    <row r="14" spans="1:7" x14ac:dyDescent="0.45">
      <c r="A14" s="2">
        <v>43831</v>
      </c>
      <c r="B14" s="3">
        <v>6.1769247055053711E-2</v>
      </c>
      <c r="C14">
        <v>-547.92337083036739</v>
      </c>
      <c r="D14">
        <f t="shared" si="0"/>
        <v>-7.6234575206165847E-2</v>
      </c>
      <c r="E14" s="3">
        <f t="shared" si="1"/>
        <v>-6.1769247055053711E-2</v>
      </c>
    </row>
    <row r="15" spans="1:7" x14ac:dyDescent="0.45">
      <c r="A15" s="2">
        <v>43862</v>
      </c>
      <c r="B15" s="3">
        <v>4.0124833583831787E-2</v>
      </c>
      <c r="C15">
        <v>-545.42901966854708</v>
      </c>
      <c r="D15">
        <f t="shared" si="0"/>
        <v>-6.6750165411098614E-2</v>
      </c>
      <c r="E15" s="3">
        <f t="shared" si="1"/>
        <v>-4.0124833583831787E-2</v>
      </c>
    </row>
    <row r="16" spans="1:7" x14ac:dyDescent="0.45">
      <c r="A16" s="2">
        <v>43891</v>
      </c>
      <c r="B16" s="3">
        <v>0.14109799265861511</v>
      </c>
      <c r="C16">
        <v>-519.77849848279095</v>
      </c>
      <c r="D16">
        <f t="shared" si="0"/>
        <v>3.0782234239167979E-2</v>
      </c>
      <c r="E16" s="3">
        <f t="shared" si="1"/>
        <v>-0.14109799265861511</v>
      </c>
    </row>
    <row r="17" spans="1:5" x14ac:dyDescent="0.45">
      <c r="A17" s="2">
        <v>43922</v>
      </c>
      <c r="B17" s="3">
        <v>0.12998467683792114</v>
      </c>
      <c r="C17">
        <v>-447.0980617223538</v>
      </c>
      <c r="D17">
        <f t="shared" si="0"/>
        <v>0.30713909083244739</v>
      </c>
      <c r="E17" s="3">
        <f t="shared" si="1"/>
        <v>-0.12998467683792114</v>
      </c>
    </row>
    <row r="18" spans="1:5" x14ac:dyDescent="0.45">
      <c r="A18" s="2">
        <v>43952</v>
      </c>
      <c r="B18" s="3">
        <v>6.3085794448852539E-2</v>
      </c>
      <c r="C18">
        <v>-468.09562276460321</v>
      </c>
      <c r="D18">
        <f t="shared" si="0"/>
        <v>0.22729889965571723</v>
      </c>
      <c r="E18" s="3">
        <f t="shared" si="1"/>
        <v>-6.3085794448852539E-2</v>
      </c>
    </row>
    <row r="19" spans="1:5" x14ac:dyDescent="0.45">
      <c r="A19" s="2">
        <v>43983</v>
      </c>
      <c r="B19" s="3">
        <v>8.767072856426239E-2</v>
      </c>
      <c r="C19">
        <v>-660.56072315835775</v>
      </c>
      <c r="D19">
        <f t="shared" si="0"/>
        <v>-0.50452182844536742</v>
      </c>
      <c r="E19" s="3">
        <f t="shared" si="1"/>
        <v>-8.767072856426239E-2</v>
      </c>
    </row>
    <row r="20" spans="1:5" x14ac:dyDescent="0.45">
      <c r="A20" s="2">
        <v>44013</v>
      </c>
      <c r="B20" s="3">
        <v>6.300913542509079E-2</v>
      </c>
      <c r="C20">
        <v>-555.24090935047514</v>
      </c>
      <c r="D20">
        <f t="shared" si="0"/>
        <v>-0.10405845785677213</v>
      </c>
      <c r="E20" s="3">
        <f t="shared" si="1"/>
        <v>-6.300913542509079E-2</v>
      </c>
    </row>
    <row r="21" spans="1:5" x14ac:dyDescent="0.45">
      <c r="A21" s="2">
        <v>44044</v>
      </c>
      <c r="B21" s="3">
        <v>8.9051157236099243E-2</v>
      </c>
      <c r="C21">
        <v>-483.13791668620809</v>
      </c>
      <c r="D21">
        <f t="shared" si="0"/>
        <v>0.17010275101631114</v>
      </c>
      <c r="E21" s="3">
        <f t="shared" si="1"/>
        <v>-8.9051157236099243E-2</v>
      </c>
    </row>
    <row r="22" spans="1:5" x14ac:dyDescent="0.45">
      <c r="A22" s="2">
        <v>44075</v>
      </c>
      <c r="B22" s="3">
        <v>6.7216344177722931E-2</v>
      </c>
      <c r="C22">
        <v>-376.90628318290311</v>
      </c>
      <c r="D22">
        <f t="shared" si="0"/>
        <v>0.57403318421540428</v>
      </c>
      <c r="E22" s="3">
        <f t="shared" si="1"/>
        <v>-6.7216344177722931E-2</v>
      </c>
    </row>
    <row r="23" spans="1:5" x14ac:dyDescent="0.45">
      <c r="A23" s="2">
        <v>44105</v>
      </c>
      <c r="B23" s="3">
        <v>8.8581427931785583E-2</v>
      </c>
      <c r="C23">
        <v>-227.85401894418229</v>
      </c>
      <c r="D23">
        <f t="shared" si="0"/>
        <v>1.1407828771058852</v>
      </c>
      <c r="E23" s="3">
        <f t="shared" si="1"/>
        <v>-8.8581427931785583E-2</v>
      </c>
    </row>
    <row r="24" spans="1:5" x14ac:dyDescent="0.45">
      <c r="A24" s="2">
        <v>44136</v>
      </c>
      <c r="B24" s="3">
        <v>9.1772586107254028E-2</v>
      </c>
      <c r="C24">
        <v>-215.66291708483641</v>
      </c>
      <c r="D24">
        <f t="shared" si="0"/>
        <v>1.1871377799989733</v>
      </c>
      <c r="E24" s="3">
        <f t="shared" si="1"/>
        <v>-9.1772586107254028E-2</v>
      </c>
    </row>
    <row r="25" spans="1:5" x14ac:dyDescent="0.45">
      <c r="A25" s="2">
        <v>44166</v>
      </c>
      <c r="B25" s="3">
        <v>2.3607175797224045E-2</v>
      </c>
      <c r="C25">
        <v>-258.46449196420139</v>
      </c>
      <c r="D25">
        <f t="shared" si="0"/>
        <v>1.024390977446159</v>
      </c>
      <c r="E25" s="3">
        <f t="shared" si="1"/>
        <v>-2.3607175797224045E-2</v>
      </c>
    </row>
    <row r="26" spans="1:5" x14ac:dyDescent="0.45">
      <c r="A26" s="2">
        <v>44197</v>
      </c>
      <c r="B26" s="3">
        <v>7.3079384863376617E-2</v>
      </c>
      <c r="C26">
        <v>-444.20581813615848</v>
      </c>
      <c r="D26">
        <f t="shared" si="0"/>
        <v>0.31813642906553435</v>
      </c>
      <c r="E26" s="3">
        <f t="shared" si="1"/>
        <v>-7.3079384863376617E-2</v>
      </c>
    </row>
    <row r="27" spans="1:5" x14ac:dyDescent="0.45">
      <c r="A27" s="2">
        <v>44228</v>
      </c>
      <c r="B27" s="3">
        <v>8.0056041479110718E-2</v>
      </c>
      <c r="C27">
        <v>-492.49205238257929</v>
      </c>
      <c r="D27">
        <f t="shared" si="0"/>
        <v>0.13453500194351944</v>
      </c>
      <c r="E27" s="3">
        <f t="shared" si="1"/>
        <v>-8.0056041479110718E-2</v>
      </c>
    </row>
    <row r="28" spans="1:5" x14ac:dyDescent="0.45">
      <c r="A28" s="2">
        <v>44256</v>
      </c>
      <c r="B28" s="3">
        <v>6.3359886407852173E-2</v>
      </c>
      <c r="C28">
        <v>-572.20687003755017</v>
      </c>
      <c r="D28">
        <f t="shared" si="0"/>
        <v>-0.16856907135266455</v>
      </c>
      <c r="E28" s="3">
        <f t="shared" si="1"/>
        <v>-6.3359886407852173E-2</v>
      </c>
    </row>
    <row r="29" spans="1:5" x14ac:dyDescent="0.45">
      <c r="A29" s="2">
        <v>44287</v>
      </c>
      <c r="B29" s="3">
        <v>4.3388132005929947E-2</v>
      </c>
      <c r="C29">
        <v>-344.89619427127758</v>
      </c>
      <c r="D29">
        <f t="shared" si="0"/>
        <v>0.69574692102254965</v>
      </c>
      <c r="E29" s="3">
        <f t="shared" si="1"/>
        <v>-4.3388132005929947E-2</v>
      </c>
    </row>
    <row r="30" spans="1:5" x14ac:dyDescent="0.45">
      <c r="A30" s="2">
        <v>44317</v>
      </c>
      <c r="B30" s="3">
        <v>5.1669877022504807E-2</v>
      </c>
      <c r="C30">
        <v>-381.93470444309861</v>
      </c>
      <c r="D30">
        <f t="shared" si="0"/>
        <v>0.55491333910942553</v>
      </c>
      <c r="E30" s="3">
        <f t="shared" si="1"/>
        <v>-5.1669877022504807E-2</v>
      </c>
    </row>
    <row r="31" spans="1:5" x14ac:dyDescent="0.45">
      <c r="A31" s="2">
        <v>44348</v>
      </c>
      <c r="B31" s="3">
        <v>3.3733315765857697E-2</v>
      </c>
      <c r="C31">
        <v>-383.79502715752898</v>
      </c>
      <c r="D31">
        <f t="shared" si="0"/>
        <v>0.54783973085217708</v>
      </c>
      <c r="E31" s="3">
        <f t="shared" si="1"/>
        <v>-3.3733315765857697E-2</v>
      </c>
    </row>
    <row r="32" spans="1:5" x14ac:dyDescent="0.45">
      <c r="A32" s="2">
        <v>44378</v>
      </c>
      <c r="B32" s="3">
        <v>5.5712893605232239E-2</v>
      </c>
      <c r="C32">
        <v>-279.61337733045423</v>
      </c>
      <c r="D32">
        <f t="shared" si="0"/>
        <v>0.9439753973976539</v>
      </c>
      <c r="E32" s="3">
        <f t="shared" si="1"/>
        <v>-5.5712893605232239E-2</v>
      </c>
    </row>
    <row r="33" spans="1:5" x14ac:dyDescent="0.45">
      <c r="A33" s="2">
        <v>44409</v>
      </c>
      <c r="B33" s="3">
        <v>6.0006000101566315E-2</v>
      </c>
      <c r="C33">
        <v>-322.2369733106687</v>
      </c>
      <c r="D33">
        <f t="shared" si="0"/>
        <v>0.78190533388634098</v>
      </c>
      <c r="E33" s="3">
        <f t="shared" si="1"/>
        <v>-6.0006000101566315E-2</v>
      </c>
    </row>
    <row r="34" spans="1:5" x14ac:dyDescent="0.45">
      <c r="A34" s="2">
        <v>44440</v>
      </c>
      <c r="B34" s="3">
        <v>8.6721912026405334E-2</v>
      </c>
      <c r="C34">
        <v>-494.9375530925584</v>
      </c>
      <c r="D34">
        <f t="shared" si="0"/>
        <v>0.12523633893143443</v>
      </c>
      <c r="E34" s="3">
        <f t="shared" si="1"/>
        <v>-8.6721912026405334E-2</v>
      </c>
    </row>
    <row r="35" spans="1:5" x14ac:dyDescent="0.45">
      <c r="A35" s="2">
        <v>44470</v>
      </c>
      <c r="B35" s="3">
        <v>5.5294442921876907E-2</v>
      </c>
      <c r="C35">
        <v>-339.45627066614298</v>
      </c>
      <c r="D35">
        <f t="shared" si="0"/>
        <v>0.71643144432251027</v>
      </c>
      <c r="E35" s="3">
        <f t="shared" si="1"/>
        <v>-5.5294442921876907E-2</v>
      </c>
    </row>
    <row r="36" spans="1:5" x14ac:dyDescent="0.45">
      <c r="A36" s="2">
        <v>44501</v>
      </c>
      <c r="B36" s="3">
        <v>6.8259388208389282E-2</v>
      </c>
      <c r="C36">
        <v>-276.2906082848445</v>
      </c>
      <c r="D36">
        <f t="shared" si="0"/>
        <v>0.95660974646818686</v>
      </c>
      <c r="E36" s="3">
        <f t="shared" si="1"/>
        <v>-6.8259388208389282E-2</v>
      </c>
    </row>
    <row r="37" spans="1:5" x14ac:dyDescent="0.45">
      <c r="A37" s="2">
        <v>44531</v>
      </c>
      <c r="B37" s="3">
        <v>6.0892067849636078E-2</v>
      </c>
      <c r="C37">
        <v>-313.58424725239922</v>
      </c>
      <c r="D37">
        <f t="shared" si="0"/>
        <v>0.81480607418194362</v>
      </c>
      <c r="E37" s="3">
        <f t="shared" si="1"/>
        <v>-6.0892067849636078E-2</v>
      </c>
    </row>
    <row r="38" spans="1:5" x14ac:dyDescent="0.45">
      <c r="A38" s="2">
        <v>44562</v>
      </c>
      <c r="B38" s="3">
        <v>7.5105145573616028E-2</v>
      </c>
      <c r="C38">
        <v>-272.08590327713432</v>
      </c>
      <c r="D38">
        <f t="shared" si="0"/>
        <v>0.97259752957222745</v>
      </c>
      <c r="E38" s="3">
        <f t="shared" si="1"/>
        <v>-7.5105145573616028E-2</v>
      </c>
    </row>
    <row r="39" spans="1:5" x14ac:dyDescent="0.45">
      <c r="A39" s="2">
        <v>44593</v>
      </c>
      <c r="B39" s="3">
        <v>3.6433663219213486E-2</v>
      </c>
      <c r="C39">
        <v>-291.05059040570751</v>
      </c>
      <c r="D39">
        <f t="shared" si="0"/>
        <v>0.90048704764980159</v>
      </c>
      <c r="E39" s="3">
        <f t="shared" si="1"/>
        <v>-3.6433663219213486E-2</v>
      </c>
    </row>
    <row r="40" spans="1:5" x14ac:dyDescent="0.45">
      <c r="A40" s="2">
        <v>44621</v>
      </c>
      <c r="B40" s="3">
        <v>9.962143748998642E-2</v>
      </c>
      <c r="C40">
        <v>-253.69940657521661</v>
      </c>
      <c r="D40">
        <f t="shared" si="0"/>
        <v>1.0425095259606503</v>
      </c>
      <c r="E40" s="3">
        <f t="shared" si="1"/>
        <v>-9.962143748998642E-2</v>
      </c>
    </row>
    <row r="41" spans="1:5" x14ac:dyDescent="0.45">
      <c r="A41" s="2">
        <v>44652</v>
      </c>
      <c r="B41" s="3">
        <v>0.15137752890586853</v>
      </c>
      <c r="C41">
        <v>-383.17034449096462</v>
      </c>
      <c r="D41">
        <f t="shared" si="0"/>
        <v>0.55021499640911165</v>
      </c>
      <c r="E41" s="3">
        <f t="shared" si="1"/>
        <v>-0.15137752890586853</v>
      </c>
    </row>
    <row r="42" spans="1:5" x14ac:dyDescent="0.45">
      <c r="A42" s="2">
        <v>44682</v>
      </c>
      <c r="B42" s="3">
        <v>9.1145835816860199E-2</v>
      </c>
      <c r="C42">
        <v>-369.64082781118702</v>
      </c>
      <c r="D42">
        <f t="shared" si="0"/>
        <v>0.60165902822160278</v>
      </c>
      <c r="E42" s="3">
        <f t="shared" si="1"/>
        <v>-9.1145835816860199E-2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3D15-E0D7-4F7C-ADAF-C3C6556BB2EF}">
  <dimension ref="A1:B3"/>
  <sheetViews>
    <sheetView workbookViewId="0">
      <selection activeCell="B4" sqref="B4"/>
    </sheetView>
  </sheetViews>
  <sheetFormatPr defaultRowHeight="14.25" x14ac:dyDescent="0.45"/>
  <sheetData>
    <row r="1" spans="1:2" x14ac:dyDescent="0.45">
      <c r="B1" t="s">
        <v>5</v>
      </c>
    </row>
    <row r="2" spans="1:2" x14ac:dyDescent="0.45">
      <c r="A2" t="s">
        <v>3</v>
      </c>
      <c r="B2">
        <v>-0.70039700000000005</v>
      </c>
    </row>
    <row r="3" spans="1:2" x14ac:dyDescent="0.45">
      <c r="A3" t="s">
        <v>4</v>
      </c>
      <c r="B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2022-06-24T15:21:40Z</dcterms:created>
  <dcterms:modified xsi:type="dcterms:W3CDTF">2022-06-27T14:41:32Z</dcterms:modified>
</cp:coreProperties>
</file>